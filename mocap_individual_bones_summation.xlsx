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gs52/Documents/GitHub/Audit_Skeletons/"/>
    </mc:Choice>
  </mc:AlternateContent>
  <xr:revisionPtr revIDLastSave="0" documentId="13_ncr:40009_{050148CA-CC19-B346-B133-5D52CF41EA0D}" xr6:coauthVersionLast="47" xr6:coauthVersionMax="47" xr10:uidLastSave="{00000000-0000-0000-0000-000000000000}"/>
  <bookViews>
    <workbookView xWindow="0" yWindow="760" windowWidth="30240" windowHeight="17580"/>
  </bookViews>
  <sheets>
    <sheet name="mocap_individual_bones" sheetId="1" r:id="rId1"/>
  </sheets>
  <calcPr calcId="0"/>
</workbook>
</file>

<file path=xl/calcChain.xml><?xml version="1.0" encoding="utf-8"?>
<calcChain xmlns="http://schemas.openxmlformats.org/spreadsheetml/2006/main">
  <c r="X3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2" i="1"/>
  <c r="AF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2" i="1"/>
  <c r="AF44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</calcChain>
</file>

<file path=xl/sharedStrings.xml><?xml version="1.0" encoding="utf-8"?>
<sst xmlns="http://schemas.openxmlformats.org/spreadsheetml/2006/main" count="78" uniqueCount="78">
  <si>
    <t xml:space="preserve">session_name          </t>
  </si>
  <si>
    <t xml:space="preserve">Head-Neck Length </t>
  </si>
  <si>
    <t xml:space="preserve">Neck-Chest Length </t>
  </si>
  <si>
    <t xml:space="preserve">Chest-Ab Length </t>
  </si>
  <si>
    <t xml:space="preserve">Ab-Hip Length </t>
  </si>
  <si>
    <t xml:space="preserve">Neck-LShoulder Length </t>
  </si>
  <si>
    <t xml:space="preserve">Neck-RShoulder Length </t>
  </si>
  <si>
    <t xml:space="preserve">LShoulder-LUArm Length </t>
  </si>
  <si>
    <t xml:space="preserve">LUArm-LFArm Length </t>
  </si>
  <si>
    <t xml:space="preserve">LFArm-LHand Length </t>
  </si>
  <si>
    <t xml:space="preserve">RShoulder-RUArm Length </t>
  </si>
  <si>
    <t xml:space="preserve">RUArm-RFArm Length </t>
  </si>
  <si>
    <t xml:space="preserve">RFArm-RHand Length </t>
  </si>
  <si>
    <t xml:space="preserve">Hip-LThigh Length </t>
  </si>
  <si>
    <t xml:space="preserve">LThigh-LShin Length </t>
  </si>
  <si>
    <t xml:space="preserve">LShin-LFoot Length </t>
  </si>
  <si>
    <t xml:space="preserve">LFoot-LToe Length </t>
  </si>
  <si>
    <t xml:space="preserve">Hip-RThigh Length </t>
  </si>
  <si>
    <t xml:space="preserve">RThigh-RShin Length </t>
  </si>
  <si>
    <t xml:space="preserve">RShin-RFoot Length </t>
  </si>
  <si>
    <t>RFoot-RToe Length</t>
  </si>
  <si>
    <t xml:space="preserve">Upper Body Height </t>
  </si>
  <si>
    <t xml:space="preserve">Upper Leg Length A </t>
  </si>
  <si>
    <t xml:space="preserve">Upper Leg Length L </t>
  </si>
  <si>
    <t xml:space="preserve">Upper Leg Length R </t>
  </si>
  <si>
    <t xml:space="preserve">Upper Arm Length A </t>
  </si>
  <si>
    <t xml:space="preserve">Upper Arm L </t>
  </si>
  <si>
    <t xml:space="preserve">Upper Arm R </t>
  </si>
  <si>
    <t xml:space="preserve">Biacromial Breadth </t>
  </si>
  <si>
    <t xml:space="preserve">Bideltoid Width </t>
  </si>
  <si>
    <t xml:space="preserve">Wingspan  </t>
  </si>
  <si>
    <t xml:space="preserve">Foot Length A </t>
  </si>
  <si>
    <t xml:space="preserve">Foot Length L </t>
  </si>
  <si>
    <t>Foot Length R</t>
  </si>
  <si>
    <t xml:space="preserve">M-SMC-06282023-13     </t>
  </si>
  <si>
    <t xml:space="preserve">M-SMC-06282023-13_001 </t>
  </si>
  <si>
    <t xml:space="preserve">M-SMC-06282023-12     </t>
  </si>
  <si>
    <t xml:space="preserve">M-SMC-06282023-10     </t>
  </si>
  <si>
    <t xml:space="preserve">M-SMC-07262023-26     </t>
  </si>
  <si>
    <t xml:space="preserve">M-SMC-07262023-27     </t>
  </si>
  <si>
    <t xml:space="preserve">M-SMC-06282023-11     </t>
  </si>
  <si>
    <t xml:space="preserve">M-SMC-06272023-05     </t>
  </si>
  <si>
    <t xml:space="preserve">M-SMC-07242023-18     </t>
  </si>
  <si>
    <t xml:space="preserve">M-SMC-07242023-19     </t>
  </si>
  <si>
    <t xml:space="preserve">M-SMC-06272023-04     </t>
  </si>
  <si>
    <t xml:space="preserve">M-SMC-06272023-06     </t>
  </si>
  <si>
    <t xml:space="preserve">M-SMC-07242023-19_001 </t>
  </si>
  <si>
    <t xml:space="preserve">M-SMC-06272023-07     </t>
  </si>
  <si>
    <t xml:space="preserve">M-SMC-07262023-25-M   </t>
  </si>
  <si>
    <t xml:space="preserve">M-SMC-06282023-11_001 </t>
  </si>
  <si>
    <t xml:space="preserve">M-SMC-06292023-15     </t>
  </si>
  <si>
    <t xml:space="preserve">M-SMC-06292023-14     </t>
  </si>
  <si>
    <t xml:space="preserve">M-SMC-06292023-16     </t>
  </si>
  <si>
    <t xml:space="preserve">M-SMC-06292023-17     </t>
  </si>
  <si>
    <t xml:space="preserve">M-SMC-06272023-05_003 </t>
  </si>
  <si>
    <t xml:space="preserve">M-SMC-07272023-31     </t>
  </si>
  <si>
    <t xml:space="preserve">M-SMC-07272023-30     </t>
  </si>
  <si>
    <t xml:space="preserve">M-SMC-06272023-05_002 </t>
  </si>
  <si>
    <t xml:space="preserve">M-SMC-07272023-32     </t>
  </si>
  <si>
    <t xml:space="preserve">M-SMC-07272023-33     </t>
  </si>
  <si>
    <t xml:space="preserve">M-SMC-06272023-05_001 </t>
  </si>
  <si>
    <t xml:space="preserve">M-SMC-06272023-08     </t>
  </si>
  <si>
    <t xml:space="preserve">M-SMC-07252023-22     </t>
  </si>
  <si>
    <t xml:space="preserve">M-SMC-07282023-35     </t>
  </si>
  <si>
    <t xml:space="preserve">M-SMC-06262023-03     </t>
  </si>
  <si>
    <t xml:space="preserve">M-SMC-06262023-02     </t>
  </si>
  <si>
    <t xml:space="preserve">M-SMC-07282023-34     </t>
  </si>
  <si>
    <t xml:space="preserve">M-SMC-07252023-20_001 </t>
  </si>
  <si>
    <t xml:space="preserve">M-SMC-07252023-23     </t>
  </si>
  <si>
    <t xml:space="preserve">M-SMC-07252023-21     </t>
  </si>
  <si>
    <t xml:space="preserve">M-SMC-07282023-36     </t>
  </si>
  <si>
    <t xml:space="preserve">M-SMC-06262023-01     </t>
  </si>
  <si>
    <t xml:space="preserve">M-SMC-07252023-20     </t>
  </si>
  <si>
    <t xml:space="preserve">M-SMC-07252023-24     </t>
  </si>
  <si>
    <t xml:space="preserve">M-SMC-06282023-09     </t>
  </si>
  <si>
    <t xml:space="preserve">M-SMC-07262023-29     </t>
  </si>
  <si>
    <t xml:space="preserve">M-SMC-07262023-28     </t>
  </si>
  <si>
    <t>Standing Height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</si>
</sst>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tabSelected="1" topLeftCell="O1" workbookViewId="0">
      <selection activeCell="AI14" sqref="AI14"/>
    </sheetView>
  </sheetViews>
  <sheetFormatPr baseColWidth="10" defaultRowHeight="16" x14ac:dyDescent="0.2"/>
  <cols>
    <col min="1" max="1" width="21" customWidth="1"/>
    <col min="22" max="22" width="10.83203125" style="1"/>
  </cols>
  <sheetData>
    <row r="1" spans="1:3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77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2">
      <c r="A2" t="s">
        <v>34</v>
      </c>
      <c r="B2">
        <v>107.91079999999999</v>
      </c>
      <c r="C2">
        <v>185.81010000000001</v>
      </c>
      <c r="D2">
        <v>226.94</v>
      </c>
      <c r="E2">
        <v>97.369699999999995</v>
      </c>
      <c r="F2">
        <v>40.282299999999999</v>
      </c>
      <c r="G2">
        <v>40.282299999999999</v>
      </c>
      <c r="H2">
        <v>77.430099999999996</v>
      </c>
      <c r="I2">
        <v>323.73899999999998</v>
      </c>
      <c r="J2">
        <v>233.69110000000001</v>
      </c>
      <c r="K2">
        <v>77.430000000000007</v>
      </c>
      <c r="L2">
        <v>323.73919999999998</v>
      </c>
      <c r="M2">
        <v>233.69120000000001</v>
      </c>
      <c r="N2">
        <v>94.353300000000004</v>
      </c>
      <c r="O2">
        <v>400.56810000000002</v>
      </c>
      <c r="P2">
        <v>412.90190000000001</v>
      </c>
      <c r="Q2">
        <v>154.24680000000001</v>
      </c>
      <c r="R2">
        <v>94.353300000000004</v>
      </c>
      <c r="S2">
        <v>400.56810000000002</v>
      </c>
      <c r="T2">
        <v>412.90210000000002</v>
      </c>
      <c r="U2">
        <v>154.24690000000001</v>
      </c>
      <c r="V2" s="1">
        <f>SUM(B2:E2)</f>
        <v>618.03060000000005</v>
      </c>
      <c r="W2">
        <f>SUM(B2:E2, O2:P2)</f>
        <v>1431.5006000000001</v>
      </c>
      <c r="X2">
        <f>(O2+S2)/2</f>
        <v>400.56810000000002</v>
      </c>
      <c r="AA2">
        <f>(I2+L2)/2</f>
        <v>323.73910000000001</v>
      </c>
      <c r="AD2">
        <f>SUM(F2+G2)</f>
        <v>80.564599999999999</v>
      </c>
      <c r="AE2">
        <f>F2+G2+H2+K2</f>
        <v>235.4247</v>
      </c>
      <c r="AF2">
        <f>SUM(F2:M2)</f>
        <v>1350.2852</v>
      </c>
      <c r="AG2">
        <f>(Q2+U2)/2</f>
        <v>154.24684999999999</v>
      </c>
    </row>
    <row r="3" spans="1:35" x14ac:dyDescent="0.2">
      <c r="A3" t="s">
        <v>35</v>
      </c>
      <c r="B3">
        <v>147.4605</v>
      </c>
      <c r="C3">
        <v>225.81010000000001</v>
      </c>
      <c r="D3">
        <v>206.93989999999999</v>
      </c>
      <c r="E3">
        <v>77.369699999999995</v>
      </c>
      <c r="F3">
        <v>65.891099999999994</v>
      </c>
      <c r="G3">
        <v>65.891099999999994</v>
      </c>
      <c r="H3">
        <v>77.430000000000007</v>
      </c>
      <c r="I3">
        <v>323.73899999999998</v>
      </c>
      <c r="J3">
        <v>233.691</v>
      </c>
      <c r="K3">
        <v>77.430000000000007</v>
      </c>
      <c r="L3">
        <v>323.73899999999998</v>
      </c>
      <c r="M3">
        <v>233.691</v>
      </c>
      <c r="N3">
        <v>94.353300000000004</v>
      </c>
      <c r="O3">
        <v>400.56799999999998</v>
      </c>
      <c r="P3">
        <v>412.90199999999999</v>
      </c>
      <c r="Q3">
        <v>154.24680000000001</v>
      </c>
      <c r="R3">
        <v>94.353300000000004</v>
      </c>
      <c r="S3">
        <v>400.56799999999998</v>
      </c>
      <c r="T3">
        <v>412.90199999999999</v>
      </c>
      <c r="U3">
        <v>154.24680000000001</v>
      </c>
      <c r="V3" s="1">
        <f t="shared" ref="V3:V44" si="0">SUM(B3:E3)</f>
        <v>657.58019999999999</v>
      </c>
      <c r="W3">
        <f t="shared" ref="W3:W44" si="1">SUM(B3:E3, O3:P3)</f>
        <v>1471.0502000000001</v>
      </c>
      <c r="X3">
        <f>(O3+S3)/2</f>
        <v>400.56799999999998</v>
      </c>
      <c r="AA3">
        <f t="shared" ref="AA3:AA44" si="2">(I3+L3)/2</f>
        <v>323.73899999999998</v>
      </c>
      <c r="AD3">
        <f t="shared" ref="AD3:AD44" si="3">SUM(F3+G3)</f>
        <v>131.78219999999999</v>
      </c>
      <c r="AE3">
        <f t="shared" ref="AE3:AE44" si="4">F3+G3+H3+K3</f>
        <v>286.6422</v>
      </c>
      <c r="AF3">
        <f t="shared" ref="AF3:AF44" si="5">SUM(F3:M3)</f>
        <v>1401.5022000000001</v>
      </c>
      <c r="AG3">
        <f t="shared" ref="AG3:AG44" si="6">(Q3+U3)/2</f>
        <v>154.24680000000001</v>
      </c>
    </row>
    <row r="4" spans="1:35" x14ac:dyDescent="0.2">
      <c r="A4" t="s">
        <v>36</v>
      </c>
      <c r="B4">
        <v>99.807900000000004</v>
      </c>
      <c r="C4">
        <v>192.10409999999999</v>
      </c>
      <c r="D4">
        <v>234.27099999999999</v>
      </c>
      <c r="E4">
        <v>93.113200000000006</v>
      </c>
      <c r="F4">
        <v>35.739400000000003</v>
      </c>
      <c r="G4">
        <v>35.739400000000003</v>
      </c>
      <c r="H4">
        <v>73.794899999999998</v>
      </c>
      <c r="I4">
        <v>322.06619999999998</v>
      </c>
      <c r="J4">
        <v>228.20320000000001</v>
      </c>
      <c r="K4">
        <v>73.795000000000002</v>
      </c>
      <c r="L4">
        <v>322.06610000000001</v>
      </c>
      <c r="M4">
        <v>228.20310000000001</v>
      </c>
      <c r="N4">
        <v>89.162599999999998</v>
      </c>
      <c r="O4">
        <v>379.58510000000001</v>
      </c>
      <c r="P4">
        <v>384.70100000000002</v>
      </c>
      <c r="Q4">
        <v>145.7612</v>
      </c>
      <c r="R4">
        <v>89.162599999999998</v>
      </c>
      <c r="S4">
        <v>379.58510000000001</v>
      </c>
      <c r="T4">
        <v>384.70100000000002</v>
      </c>
      <c r="U4">
        <v>145.7612</v>
      </c>
      <c r="V4" s="1">
        <f t="shared" si="0"/>
        <v>619.2962</v>
      </c>
      <c r="W4">
        <f t="shared" si="1"/>
        <v>1383.5823</v>
      </c>
      <c r="X4">
        <f t="shared" ref="X3:X44" si="7">(O4+S4)/2</f>
        <v>379.58510000000001</v>
      </c>
      <c r="AA4">
        <f t="shared" si="2"/>
        <v>322.06614999999999</v>
      </c>
      <c r="AD4">
        <f t="shared" si="3"/>
        <v>71.478800000000007</v>
      </c>
      <c r="AE4">
        <f t="shared" si="4"/>
        <v>219.06870000000004</v>
      </c>
      <c r="AF4">
        <f t="shared" si="5"/>
        <v>1319.6072999999999</v>
      </c>
      <c r="AG4">
        <f t="shared" si="6"/>
        <v>145.7612</v>
      </c>
    </row>
    <row r="5" spans="1:35" x14ac:dyDescent="0.2">
      <c r="A5" t="s">
        <v>37</v>
      </c>
      <c r="B5">
        <v>149.69470000000001</v>
      </c>
      <c r="C5">
        <v>228.4391</v>
      </c>
      <c r="D5">
        <v>209.28200000000001</v>
      </c>
      <c r="E5">
        <v>78.542199999999994</v>
      </c>
      <c r="F5">
        <v>73.634600000000006</v>
      </c>
      <c r="G5">
        <v>73.634600000000006</v>
      </c>
      <c r="H5">
        <v>121.36</v>
      </c>
      <c r="I5">
        <v>299.358</v>
      </c>
      <c r="J5">
        <v>287.01299999999998</v>
      </c>
      <c r="K5">
        <v>121.36</v>
      </c>
      <c r="L5">
        <v>299.358</v>
      </c>
      <c r="M5">
        <v>287.01299999999998</v>
      </c>
      <c r="N5">
        <v>95.783199999999994</v>
      </c>
      <c r="O5">
        <v>479.613</v>
      </c>
      <c r="P5">
        <v>396.06700000000001</v>
      </c>
      <c r="Q5">
        <v>156.58449999999999</v>
      </c>
      <c r="R5">
        <v>95.783199999999994</v>
      </c>
      <c r="S5">
        <v>479.613</v>
      </c>
      <c r="T5">
        <v>396.06700000000001</v>
      </c>
      <c r="U5">
        <v>156.58449999999999</v>
      </c>
      <c r="V5" s="1">
        <f t="shared" si="0"/>
        <v>665.95799999999997</v>
      </c>
      <c r="W5">
        <f t="shared" si="1"/>
        <v>1541.6379999999999</v>
      </c>
      <c r="X5">
        <f t="shared" si="7"/>
        <v>479.613</v>
      </c>
      <c r="AA5">
        <f t="shared" si="2"/>
        <v>299.358</v>
      </c>
      <c r="AD5">
        <f t="shared" si="3"/>
        <v>147.26920000000001</v>
      </c>
      <c r="AE5">
        <f t="shared" si="4"/>
        <v>389.98920000000004</v>
      </c>
      <c r="AF5">
        <f t="shared" si="5"/>
        <v>1562.7311999999999</v>
      </c>
      <c r="AG5">
        <f t="shared" si="6"/>
        <v>156.58449999999999</v>
      </c>
    </row>
    <row r="6" spans="1:35" x14ac:dyDescent="0.2">
      <c r="A6" t="s">
        <v>38</v>
      </c>
      <c r="B6">
        <v>112.0523</v>
      </c>
      <c r="C6">
        <v>210.94</v>
      </c>
      <c r="D6">
        <v>251.53909999999999</v>
      </c>
      <c r="E6">
        <v>99.545299999999997</v>
      </c>
      <c r="F6">
        <v>40.874499999999998</v>
      </c>
      <c r="G6">
        <v>40.874499999999998</v>
      </c>
      <c r="H6">
        <v>79.579099999999997</v>
      </c>
      <c r="I6">
        <v>340.36320000000001</v>
      </c>
      <c r="J6">
        <v>265.48129999999998</v>
      </c>
      <c r="K6">
        <v>79.5792</v>
      </c>
      <c r="L6">
        <v>340.36320000000001</v>
      </c>
      <c r="M6">
        <v>265.48129999999998</v>
      </c>
      <c r="N6">
        <v>97.006399999999999</v>
      </c>
      <c r="O6">
        <v>410.49209999999999</v>
      </c>
      <c r="P6">
        <v>431.99790000000002</v>
      </c>
      <c r="Q6">
        <v>158.58449999999999</v>
      </c>
      <c r="R6">
        <v>97.006399999999999</v>
      </c>
      <c r="S6">
        <v>410.49209999999999</v>
      </c>
      <c r="T6">
        <v>431.9982</v>
      </c>
      <c r="U6">
        <v>158.58430000000001</v>
      </c>
      <c r="V6" s="1">
        <f t="shared" si="0"/>
        <v>674.07669999999996</v>
      </c>
      <c r="W6">
        <f t="shared" si="1"/>
        <v>1516.5667000000001</v>
      </c>
      <c r="X6">
        <f t="shared" si="7"/>
        <v>410.49209999999999</v>
      </c>
      <c r="AA6">
        <f t="shared" si="2"/>
        <v>340.36320000000001</v>
      </c>
      <c r="AD6">
        <f t="shared" si="3"/>
        <v>81.748999999999995</v>
      </c>
      <c r="AE6">
        <f t="shared" si="4"/>
        <v>240.90730000000002</v>
      </c>
      <c r="AF6">
        <f t="shared" si="5"/>
        <v>1452.5962999999999</v>
      </c>
      <c r="AG6">
        <f t="shared" si="6"/>
        <v>158.58440000000002</v>
      </c>
    </row>
    <row r="7" spans="1:35" x14ac:dyDescent="0.2">
      <c r="A7" t="s">
        <v>39</v>
      </c>
      <c r="B7">
        <v>110.49120000000001</v>
      </c>
      <c r="C7">
        <v>218.39689999999999</v>
      </c>
      <c r="D7">
        <v>259.19499999999999</v>
      </c>
      <c r="E7">
        <v>98.725200000000001</v>
      </c>
      <c r="F7">
        <v>38.6965</v>
      </c>
      <c r="G7">
        <v>38.6965</v>
      </c>
      <c r="H7">
        <v>93.153000000000006</v>
      </c>
      <c r="I7">
        <v>310.69409999999999</v>
      </c>
      <c r="J7">
        <v>237.32409999999999</v>
      </c>
      <c r="K7">
        <v>93.153000000000006</v>
      </c>
      <c r="L7">
        <v>310.69389999999999</v>
      </c>
      <c r="M7">
        <v>237.32409999999999</v>
      </c>
      <c r="N7">
        <v>96.006200000000007</v>
      </c>
      <c r="O7">
        <v>425.89299999999997</v>
      </c>
      <c r="P7">
        <v>424.68310000000002</v>
      </c>
      <c r="Q7">
        <v>156.9485</v>
      </c>
      <c r="R7">
        <v>96.006200000000007</v>
      </c>
      <c r="S7">
        <v>425.8931</v>
      </c>
      <c r="T7">
        <v>424.68310000000002</v>
      </c>
      <c r="U7">
        <v>156.9486</v>
      </c>
      <c r="V7" s="1">
        <f t="shared" si="0"/>
        <v>686.80830000000003</v>
      </c>
      <c r="W7">
        <f t="shared" si="1"/>
        <v>1537.3843999999999</v>
      </c>
      <c r="X7">
        <f t="shared" si="7"/>
        <v>425.89305000000002</v>
      </c>
      <c r="AA7">
        <f t="shared" si="2"/>
        <v>310.69399999999996</v>
      </c>
      <c r="AD7">
        <f t="shared" si="3"/>
        <v>77.393000000000001</v>
      </c>
      <c r="AE7">
        <f t="shared" si="4"/>
        <v>263.69900000000001</v>
      </c>
      <c r="AF7">
        <f t="shared" si="5"/>
        <v>1359.7352000000001</v>
      </c>
      <c r="AG7">
        <f t="shared" si="6"/>
        <v>156.94855000000001</v>
      </c>
    </row>
    <row r="8" spans="1:35" x14ac:dyDescent="0.2">
      <c r="A8" t="s">
        <v>40</v>
      </c>
      <c r="B8">
        <v>99.218000000000004</v>
      </c>
      <c r="C8">
        <v>191.4881</v>
      </c>
      <c r="D8">
        <v>233.73099999999999</v>
      </c>
      <c r="E8">
        <v>92.803399999999996</v>
      </c>
      <c r="F8">
        <v>36.422600000000003</v>
      </c>
      <c r="G8">
        <v>36.422600000000003</v>
      </c>
      <c r="H8">
        <v>82.493600000000001</v>
      </c>
      <c r="I8">
        <v>279.83710000000002</v>
      </c>
      <c r="J8">
        <v>244.75120000000001</v>
      </c>
      <c r="K8">
        <v>82.493600000000001</v>
      </c>
      <c r="L8">
        <v>279.83710000000002</v>
      </c>
      <c r="M8">
        <v>244.75110000000001</v>
      </c>
      <c r="N8">
        <v>88.784700000000001</v>
      </c>
      <c r="O8">
        <v>375.48809999999997</v>
      </c>
      <c r="P8">
        <v>378.43110000000001</v>
      </c>
      <c r="Q8">
        <v>145.14330000000001</v>
      </c>
      <c r="R8">
        <v>88.784700000000001</v>
      </c>
      <c r="S8">
        <v>375.48809999999997</v>
      </c>
      <c r="T8">
        <v>378.43110000000001</v>
      </c>
      <c r="U8">
        <v>145.14320000000001</v>
      </c>
      <c r="V8" s="1">
        <f t="shared" si="0"/>
        <v>617.2405</v>
      </c>
      <c r="W8">
        <f t="shared" si="1"/>
        <v>1371.1596999999999</v>
      </c>
      <c r="X8">
        <f t="shared" si="7"/>
        <v>375.48809999999997</v>
      </c>
      <c r="AA8">
        <f t="shared" si="2"/>
        <v>279.83710000000002</v>
      </c>
      <c r="AD8">
        <f t="shared" si="3"/>
        <v>72.845200000000006</v>
      </c>
      <c r="AE8">
        <f t="shared" si="4"/>
        <v>237.83240000000001</v>
      </c>
      <c r="AF8">
        <f t="shared" si="5"/>
        <v>1287.0089</v>
      </c>
      <c r="AG8">
        <f t="shared" si="6"/>
        <v>145.14325000000002</v>
      </c>
    </row>
    <row r="9" spans="1:35" x14ac:dyDescent="0.2">
      <c r="A9" t="s">
        <v>41</v>
      </c>
      <c r="B9">
        <v>130.52510000000001</v>
      </c>
      <c r="C9">
        <v>205.821</v>
      </c>
      <c r="D9">
        <v>189.11709999999999</v>
      </c>
      <c r="E9">
        <v>68.484300000000005</v>
      </c>
      <c r="F9">
        <v>58.3461</v>
      </c>
      <c r="G9">
        <v>58.3461</v>
      </c>
      <c r="H9">
        <v>68.527500000000003</v>
      </c>
      <c r="I9">
        <v>260.02</v>
      </c>
      <c r="J9">
        <v>216.19300000000001</v>
      </c>
      <c r="K9">
        <v>68.527500000000003</v>
      </c>
      <c r="L9">
        <v>260.02</v>
      </c>
      <c r="M9">
        <v>216.19300000000001</v>
      </c>
      <c r="N9">
        <v>83.517399999999995</v>
      </c>
      <c r="O9">
        <v>345.15100000000001</v>
      </c>
      <c r="P9">
        <v>361.10700000000003</v>
      </c>
      <c r="Q9">
        <v>136.53229999999999</v>
      </c>
      <c r="R9">
        <v>83.517399999999995</v>
      </c>
      <c r="S9">
        <v>345.15100000000001</v>
      </c>
      <c r="T9">
        <v>361.10700000000003</v>
      </c>
      <c r="U9">
        <v>136.53229999999999</v>
      </c>
      <c r="V9" s="1">
        <f t="shared" si="0"/>
        <v>593.94749999999988</v>
      </c>
      <c r="W9">
        <f t="shared" si="1"/>
        <v>1300.2054999999998</v>
      </c>
      <c r="X9">
        <f t="shared" si="7"/>
        <v>345.15100000000001</v>
      </c>
      <c r="AA9">
        <f t="shared" si="2"/>
        <v>260.02</v>
      </c>
      <c r="AD9">
        <f t="shared" si="3"/>
        <v>116.6922</v>
      </c>
      <c r="AE9">
        <f t="shared" si="4"/>
        <v>253.74719999999999</v>
      </c>
      <c r="AF9">
        <f t="shared" si="5"/>
        <v>1206.1732</v>
      </c>
      <c r="AG9">
        <f t="shared" si="6"/>
        <v>136.53229999999999</v>
      </c>
    </row>
    <row r="10" spans="1:35" x14ac:dyDescent="0.2">
      <c r="A10" t="s">
        <v>42</v>
      </c>
      <c r="B10">
        <v>99.471599999999995</v>
      </c>
      <c r="C10">
        <v>194.017</v>
      </c>
      <c r="D10">
        <v>236.227</v>
      </c>
      <c r="E10">
        <v>92.936700000000002</v>
      </c>
      <c r="F10">
        <v>35.889899999999997</v>
      </c>
      <c r="G10">
        <v>35.889899999999997</v>
      </c>
      <c r="H10">
        <v>84.001300000000001</v>
      </c>
      <c r="I10">
        <v>287.36619999999999</v>
      </c>
      <c r="J10">
        <v>226.7002</v>
      </c>
      <c r="K10">
        <v>84.001300000000001</v>
      </c>
      <c r="L10">
        <v>287.36610000000002</v>
      </c>
      <c r="M10">
        <v>226.7002</v>
      </c>
      <c r="N10">
        <v>88.947199999999995</v>
      </c>
      <c r="O10">
        <v>376.36200000000002</v>
      </c>
      <c r="P10">
        <v>417.25799999999998</v>
      </c>
      <c r="Q10">
        <v>145.4092</v>
      </c>
      <c r="R10">
        <v>88.947199999999995</v>
      </c>
      <c r="S10">
        <v>376.36189999999999</v>
      </c>
      <c r="T10">
        <v>417.25799999999998</v>
      </c>
      <c r="U10">
        <v>145.4093</v>
      </c>
      <c r="V10" s="1">
        <f t="shared" si="0"/>
        <v>622.65229999999997</v>
      </c>
      <c r="W10">
        <f t="shared" si="1"/>
        <v>1416.2723000000001</v>
      </c>
      <c r="X10">
        <f t="shared" si="7"/>
        <v>376.36194999999998</v>
      </c>
      <c r="AA10">
        <f t="shared" si="2"/>
        <v>287.36615</v>
      </c>
      <c r="AD10">
        <f t="shared" si="3"/>
        <v>71.779799999999994</v>
      </c>
      <c r="AE10">
        <f t="shared" si="4"/>
        <v>239.7824</v>
      </c>
      <c r="AF10">
        <f t="shared" si="5"/>
        <v>1267.9150999999999</v>
      </c>
      <c r="AG10">
        <f t="shared" si="6"/>
        <v>145.40924999999999</v>
      </c>
    </row>
    <row r="11" spans="1:35" x14ac:dyDescent="0.2">
      <c r="A11" t="s">
        <v>43</v>
      </c>
      <c r="B11">
        <v>104.5733</v>
      </c>
      <c r="C11">
        <v>189.476</v>
      </c>
      <c r="D11">
        <v>231.03309999999999</v>
      </c>
      <c r="E11">
        <v>95.616900000000001</v>
      </c>
      <c r="F11">
        <v>38.808799999999998</v>
      </c>
      <c r="G11">
        <v>38.808799999999998</v>
      </c>
      <c r="H11">
        <v>90.644400000000005</v>
      </c>
      <c r="I11">
        <v>285.69819999999999</v>
      </c>
      <c r="J11">
        <v>227.65020000000001</v>
      </c>
      <c r="K11">
        <v>90.644499999999994</v>
      </c>
      <c r="L11">
        <v>285.6979</v>
      </c>
      <c r="M11">
        <v>227.65</v>
      </c>
      <c r="N11">
        <v>92.215699999999998</v>
      </c>
      <c r="O11">
        <v>419.99110000000002</v>
      </c>
      <c r="P11">
        <v>396.53620000000001</v>
      </c>
      <c r="Q11">
        <v>150.7527</v>
      </c>
      <c r="R11">
        <v>92.215699999999998</v>
      </c>
      <c r="S11">
        <v>419.99099999999999</v>
      </c>
      <c r="T11">
        <v>396.53609999999998</v>
      </c>
      <c r="U11">
        <v>150.7526</v>
      </c>
      <c r="V11" s="1">
        <f t="shared" si="0"/>
        <v>620.69929999999999</v>
      </c>
      <c r="W11">
        <f t="shared" si="1"/>
        <v>1437.2266</v>
      </c>
      <c r="X11">
        <f t="shared" si="7"/>
        <v>419.99104999999997</v>
      </c>
      <c r="AA11">
        <f t="shared" si="2"/>
        <v>285.69804999999997</v>
      </c>
      <c r="AD11">
        <f t="shared" si="3"/>
        <v>77.617599999999996</v>
      </c>
      <c r="AE11">
        <f t="shared" si="4"/>
        <v>258.90649999999999</v>
      </c>
      <c r="AF11">
        <f t="shared" si="5"/>
        <v>1285.6028000000001</v>
      </c>
      <c r="AG11">
        <f t="shared" si="6"/>
        <v>150.75265000000002</v>
      </c>
    </row>
    <row r="12" spans="1:35" x14ac:dyDescent="0.2">
      <c r="A12" t="s">
        <v>44</v>
      </c>
      <c r="B12">
        <v>160.15790000000001</v>
      </c>
      <c r="C12">
        <v>215.52209999999999</v>
      </c>
      <c r="D12">
        <v>195.02699999999999</v>
      </c>
      <c r="E12">
        <v>84.031999999999996</v>
      </c>
      <c r="F12">
        <v>59.508699999999997</v>
      </c>
      <c r="G12">
        <v>59.508699999999997</v>
      </c>
      <c r="H12">
        <v>94.254300000000001</v>
      </c>
      <c r="I12">
        <v>391.19110000000001</v>
      </c>
      <c r="J12">
        <v>223.958</v>
      </c>
      <c r="K12">
        <v>94.254300000000001</v>
      </c>
      <c r="L12">
        <v>391.19110000000001</v>
      </c>
      <c r="M12">
        <v>223.958</v>
      </c>
      <c r="N12">
        <v>102.47799999999999</v>
      </c>
      <c r="O12">
        <v>529.36189999999999</v>
      </c>
      <c r="P12">
        <v>435.38810000000001</v>
      </c>
      <c r="Q12">
        <v>167.52879999999999</v>
      </c>
      <c r="R12">
        <v>102.47799999999999</v>
      </c>
      <c r="S12">
        <v>529.36189999999999</v>
      </c>
      <c r="T12">
        <v>435.38810000000001</v>
      </c>
      <c r="U12">
        <v>167.52879999999999</v>
      </c>
      <c r="V12" s="1">
        <f t="shared" si="0"/>
        <v>654.73900000000003</v>
      </c>
      <c r="W12">
        <f t="shared" si="1"/>
        <v>1619.489</v>
      </c>
      <c r="X12">
        <f t="shared" si="7"/>
        <v>529.36189999999999</v>
      </c>
      <c r="AA12">
        <f t="shared" si="2"/>
        <v>391.19110000000001</v>
      </c>
      <c r="AD12">
        <f t="shared" si="3"/>
        <v>119.01739999999999</v>
      </c>
      <c r="AE12">
        <f t="shared" si="4"/>
        <v>307.52600000000001</v>
      </c>
      <c r="AF12">
        <f t="shared" si="5"/>
        <v>1537.8242</v>
      </c>
      <c r="AG12">
        <f t="shared" si="6"/>
        <v>167.52879999999999</v>
      </c>
    </row>
    <row r="13" spans="1:35" x14ac:dyDescent="0.2">
      <c r="A13" t="s">
        <v>45</v>
      </c>
      <c r="B13">
        <v>115.44589999999999</v>
      </c>
      <c r="C13">
        <v>200.148</v>
      </c>
      <c r="D13">
        <v>240.31200000000001</v>
      </c>
      <c r="E13">
        <v>101.3276</v>
      </c>
      <c r="F13">
        <v>40.173499999999997</v>
      </c>
      <c r="G13">
        <v>40.173499999999997</v>
      </c>
      <c r="H13">
        <v>81.203699999999998</v>
      </c>
      <c r="I13">
        <v>340.72910000000002</v>
      </c>
      <c r="J13">
        <v>251.0523</v>
      </c>
      <c r="K13">
        <v>81.203599999999994</v>
      </c>
      <c r="L13">
        <v>340.72910000000002</v>
      </c>
      <c r="M13">
        <v>251.05199999999999</v>
      </c>
      <c r="N13">
        <v>99.18</v>
      </c>
      <c r="O13">
        <v>429.83319999999998</v>
      </c>
      <c r="P13">
        <v>440.66120000000001</v>
      </c>
      <c r="Q13">
        <v>162.13749999999999</v>
      </c>
      <c r="R13">
        <v>99.18</v>
      </c>
      <c r="S13">
        <v>429.8331</v>
      </c>
      <c r="T13">
        <v>440.66120000000001</v>
      </c>
      <c r="U13">
        <v>162.13730000000001</v>
      </c>
      <c r="V13" s="1">
        <f t="shared" si="0"/>
        <v>657.23349999999994</v>
      </c>
      <c r="W13">
        <f t="shared" si="1"/>
        <v>1527.7278999999999</v>
      </c>
      <c r="X13">
        <f t="shared" si="7"/>
        <v>429.83314999999999</v>
      </c>
      <c r="AA13">
        <f t="shared" si="2"/>
        <v>340.72910000000002</v>
      </c>
      <c r="AD13">
        <f t="shared" si="3"/>
        <v>80.346999999999994</v>
      </c>
      <c r="AE13">
        <f t="shared" si="4"/>
        <v>242.7543</v>
      </c>
      <c r="AF13">
        <f t="shared" si="5"/>
        <v>1426.3168000000001</v>
      </c>
      <c r="AG13">
        <f t="shared" si="6"/>
        <v>162.13740000000001</v>
      </c>
    </row>
    <row r="14" spans="1:35" x14ac:dyDescent="0.2">
      <c r="A14" t="s">
        <v>46</v>
      </c>
      <c r="B14">
        <v>104.5731</v>
      </c>
      <c r="C14">
        <v>189.47630000000001</v>
      </c>
      <c r="D14">
        <v>231.03290000000001</v>
      </c>
      <c r="E14">
        <v>95.616900000000001</v>
      </c>
      <c r="F14">
        <v>38.808599999999998</v>
      </c>
      <c r="G14">
        <v>38.808900000000001</v>
      </c>
      <c r="H14">
        <v>90.644599999999997</v>
      </c>
      <c r="I14">
        <v>285.69799999999998</v>
      </c>
      <c r="J14">
        <v>227.65010000000001</v>
      </c>
      <c r="K14">
        <v>90.644499999999994</v>
      </c>
      <c r="L14">
        <v>285.69799999999998</v>
      </c>
      <c r="M14">
        <v>227.65020000000001</v>
      </c>
      <c r="N14">
        <v>92.215800000000002</v>
      </c>
      <c r="O14">
        <v>419.99110000000002</v>
      </c>
      <c r="P14">
        <v>396.53620000000001</v>
      </c>
      <c r="Q14">
        <v>150.7527</v>
      </c>
      <c r="R14">
        <v>92.215800000000002</v>
      </c>
      <c r="S14">
        <v>419.99119999999999</v>
      </c>
      <c r="T14">
        <v>396.536</v>
      </c>
      <c r="U14">
        <v>150.75280000000001</v>
      </c>
      <c r="V14" s="1">
        <f t="shared" si="0"/>
        <v>620.69920000000002</v>
      </c>
      <c r="W14">
        <f t="shared" si="1"/>
        <v>1437.2265</v>
      </c>
      <c r="X14">
        <f t="shared" si="7"/>
        <v>419.99115</v>
      </c>
      <c r="AA14">
        <f t="shared" si="2"/>
        <v>285.69799999999998</v>
      </c>
      <c r="AD14">
        <f t="shared" si="3"/>
        <v>77.617500000000007</v>
      </c>
      <c r="AE14">
        <f t="shared" si="4"/>
        <v>258.90660000000003</v>
      </c>
      <c r="AF14">
        <f t="shared" si="5"/>
        <v>1285.6029000000001</v>
      </c>
      <c r="AG14">
        <f t="shared" si="6"/>
        <v>150.75274999999999</v>
      </c>
    </row>
    <row r="15" spans="1:35" x14ac:dyDescent="0.2">
      <c r="A15" t="s">
        <v>47</v>
      </c>
      <c r="B15">
        <v>112.2581</v>
      </c>
      <c r="C15">
        <v>199.30090000000001</v>
      </c>
      <c r="D15">
        <v>239.8732</v>
      </c>
      <c r="E15">
        <v>99.653300000000002</v>
      </c>
      <c r="F15">
        <v>40.634700000000002</v>
      </c>
      <c r="G15">
        <v>40.634700000000002</v>
      </c>
      <c r="H15">
        <v>99.915499999999994</v>
      </c>
      <c r="I15">
        <v>334.03590000000003</v>
      </c>
      <c r="J15">
        <v>262.5181</v>
      </c>
      <c r="K15">
        <v>99.915300000000002</v>
      </c>
      <c r="L15">
        <v>334.03609999999998</v>
      </c>
      <c r="M15">
        <v>262.51830000000001</v>
      </c>
      <c r="N15">
        <v>97.138199999999998</v>
      </c>
      <c r="O15">
        <v>453.33</v>
      </c>
      <c r="P15">
        <v>442.58699999999999</v>
      </c>
      <c r="Q15">
        <v>158.79929999999999</v>
      </c>
      <c r="R15">
        <v>97.138199999999998</v>
      </c>
      <c r="S15">
        <v>453.33</v>
      </c>
      <c r="T15">
        <v>442.58710000000002</v>
      </c>
      <c r="U15">
        <v>158.79910000000001</v>
      </c>
      <c r="V15" s="1">
        <f t="shared" si="0"/>
        <v>651.08549999999991</v>
      </c>
      <c r="W15">
        <f t="shared" si="1"/>
        <v>1547.0024999999998</v>
      </c>
      <c r="X15">
        <f t="shared" si="7"/>
        <v>453.33</v>
      </c>
      <c r="AA15">
        <f t="shared" si="2"/>
        <v>334.036</v>
      </c>
      <c r="AD15">
        <f t="shared" si="3"/>
        <v>81.269400000000005</v>
      </c>
      <c r="AE15">
        <f t="shared" si="4"/>
        <v>281.10019999999997</v>
      </c>
      <c r="AF15">
        <f t="shared" si="5"/>
        <v>1474.2085999999999</v>
      </c>
      <c r="AG15">
        <f t="shared" si="6"/>
        <v>158.79919999999998</v>
      </c>
    </row>
    <row r="16" spans="1:35" x14ac:dyDescent="0.2">
      <c r="A16" t="s">
        <v>48</v>
      </c>
      <c r="B16">
        <v>94.473500000000001</v>
      </c>
      <c r="C16">
        <v>144.65299999999999</v>
      </c>
      <c r="D16">
        <v>187.5052</v>
      </c>
      <c r="E16">
        <v>90.310599999999994</v>
      </c>
      <c r="F16">
        <v>36.484699999999997</v>
      </c>
      <c r="G16">
        <v>36.484699999999997</v>
      </c>
      <c r="H16">
        <v>77.894999999999996</v>
      </c>
      <c r="I16">
        <v>289.69729999999998</v>
      </c>
      <c r="J16">
        <v>207.97219999999999</v>
      </c>
      <c r="K16">
        <v>77.894999999999996</v>
      </c>
      <c r="L16">
        <v>289.69720000000001</v>
      </c>
      <c r="M16">
        <v>207.97229999999999</v>
      </c>
      <c r="N16">
        <v>85.744600000000005</v>
      </c>
      <c r="O16">
        <v>415.1601</v>
      </c>
      <c r="P16">
        <v>365.1891</v>
      </c>
      <c r="Q16">
        <v>140.17349999999999</v>
      </c>
      <c r="R16">
        <v>85.744600000000005</v>
      </c>
      <c r="S16">
        <v>415.16019999999997</v>
      </c>
      <c r="T16">
        <v>365.1891</v>
      </c>
      <c r="U16">
        <v>140.17359999999999</v>
      </c>
      <c r="V16" s="1">
        <f t="shared" si="0"/>
        <v>516.94230000000005</v>
      </c>
      <c r="W16">
        <f t="shared" si="1"/>
        <v>1297.2915</v>
      </c>
      <c r="X16">
        <f t="shared" si="7"/>
        <v>415.16014999999999</v>
      </c>
      <c r="AA16">
        <f t="shared" si="2"/>
        <v>289.69725</v>
      </c>
      <c r="AD16">
        <f t="shared" si="3"/>
        <v>72.969399999999993</v>
      </c>
      <c r="AE16">
        <f t="shared" si="4"/>
        <v>228.75939999999997</v>
      </c>
      <c r="AF16">
        <f t="shared" si="5"/>
        <v>1224.0983999999999</v>
      </c>
      <c r="AG16">
        <f t="shared" si="6"/>
        <v>140.17354999999998</v>
      </c>
    </row>
    <row r="17" spans="1:33" x14ac:dyDescent="0.2">
      <c r="A17" t="s">
        <v>49</v>
      </c>
      <c r="B17">
        <v>99.218000000000004</v>
      </c>
      <c r="C17">
        <v>191.488</v>
      </c>
      <c r="D17">
        <v>233.73099999999999</v>
      </c>
      <c r="E17">
        <v>92.8035</v>
      </c>
      <c r="F17">
        <v>36.422600000000003</v>
      </c>
      <c r="G17">
        <v>36.422600000000003</v>
      </c>
      <c r="H17">
        <v>82.493600000000001</v>
      </c>
      <c r="I17">
        <v>279.8372</v>
      </c>
      <c r="J17">
        <v>244.751</v>
      </c>
      <c r="K17">
        <v>82.493600000000001</v>
      </c>
      <c r="L17">
        <v>279.8372</v>
      </c>
      <c r="M17">
        <v>244.75110000000001</v>
      </c>
      <c r="N17">
        <v>88.784700000000001</v>
      </c>
      <c r="O17">
        <v>375.48820000000001</v>
      </c>
      <c r="P17">
        <v>378.43090000000001</v>
      </c>
      <c r="Q17">
        <v>145.14340000000001</v>
      </c>
      <c r="R17">
        <v>88.784700000000001</v>
      </c>
      <c r="S17">
        <v>375.48809999999997</v>
      </c>
      <c r="T17">
        <v>378.43110000000001</v>
      </c>
      <c r="U17">
        <v>145.14330000000001</v>
      </c>
      <c r="V17" s="1">
        <f t="shared" si="0"/>
        <v>617.2405</v>
      </c>
      <c r="W17">
        <f t="shared" si="1"/>
        <v>1371.1596</v>
      </c>
      <c r="X17">
        <f t="shared" si="7"/>
        <v>375.48815000000002</v>
      </c>
      <c r="AA17">
        <f t="shared" si="2"/>
        <v>279.8372</v>
      </c>
      <c r="AD17">
        <f t="shared" si="3"/>
        <v>72.845200000000006</v>
      </c>
      <c r="AE17">
        <f t="shared" si="4"/>
        <v>237.83240000000001</v>
      </c>
      <c r="AF17">
        <f t="shared" si="5"/>
        <v>1287.0089</v>
      </c>
      <c r="AG17">
        <f t="shared" si="6"/>
        <v>145.14335</v>
      </c>
    </row>
    <row r="18" spans="1:33" x14ac:dyDescent="0.2">
      <c r="A18" t="s">
        <v>50</v>
      </c>
      <c r="B18">
        <v>104.3828</v>
      </c>
      <c r="C18">
        <v>195.4203</v>
      </c>
      <c r="D18">
        <v>237.00200000000001</v>
      </c>
      <c r="E18">
        <v>95.5167</v>
      </c>
      <c r="F18">
        <v>37.190399999999997</v>
      </c>
      <c r="G18">
        <v>37.190300000000001</v>
      </c>
      <c r="H18">
        <v>90.357299999999995</v>
      </c>
      <c r="I18">
        <v>315.96929999999998</v>
      </c>
      <c r="J18">
        <v>251.00319999999999</v>
      </c>
      <c r="K18">
        <v>90.357200000000006</v>
      </c>
      <c r="L18">
        <v>315.96910000000003</v>
      </c>
      <c r="M18">
        <v>251.00299999999999</v>
      </c>
      <c r="N18">
        <v>92.093500000000006</v>
      </c>
      <c r="O18">
        <v>416.71789999999999</v>
      </c>
      <c r="P18">
        <v>386.58300000000003</v>
      </c>
      <c r="Q18">
        <v>150.5523</v>
      </c>
      <c r="R18">
        <v>92.093500000000006</v>
      </c>
      <c r="S18">
        <v>416.71809999999999</v>
      </c>
      <c r="T18">
        <v>386.5831</v>
      </c>
      <c r="U18">
        <v>150.5523</v>
      </c>
      <c r="V18" s="1">
        <f t="shared" si="0"/>
        <v>632.32180000000005</v>
      </c>
      <c r="W18">
        <f t="shared" si="1"/>
        <v>1435.6227000000001</v>
      </c>
      <c r="X18">
        <f t="shared" si="7"/>
        <v>416.71799999999996</v>
      </c>
      <c r="AA18">
        <f t="shared" si="2"/>
        <v>315.9692</v>
      </c>
      <c r="AD18">
        <f t="shared" si="3"/>
        <v>74.38069999999999</v>
      </c>
      <c r="AE18">
        <f t="shared" si="4"/>
        <v>255.09520000000001</v>
      </c>
      <c r="AF18">
        <f t="shared" si="5"/>
        <v>1389.0397999999998</v>
      </c>
      <c r="AG18">
        <f t="shared" si="6"/>
        <v>150.5523</v>
      </c>
    </row>
    <row r="19" spans="1:33" x14ac:dyDescent="0.2">
      <c r="A19" t="s">
        <v>51</v>
      </c>
      <c r="B19">
        <v>105.50190000000001</v>
      </c>
      <c r="C19">
        <v>189.41800000000001</v>
      </c>
      <c r="D19">
        <v>230.85599999999999</v>
      </c>
      <c r="E19">
        <v>96.104200000000006</v>
      </c>
      <c r="F19">
        <v>37.932699999999997</v>
      </c>
      <c r="G19">
        <v>37.932699999999997</v>
      </c>
      <c r="H19">
        <v>86.145700000000005</v>
      </c>
      <c r="I19">
        <v>312.12709999999998</v>
      </c>
      <c r="J19">
        <v>246.6121</v>
      </c>
      <c r="K19">
        <v>86.145700000000005</v>
      </c>
      <c r="L19">
        <v>312.12720000000002</v>
      </c>
      <c r="M19">
        <v>246.61199999999999</v>
      </c>
      <c r="N19">
        <v>92.81</v>
      </c>
      <c r="O19">
        <v>429.03809999999999</v>
      </c>
      <c r="P19">
        <v>386.39510000000001</v>
      </c>
      <c r="Q19">
        <v>151.72389999999999</v>
      </c>
      <c r="R19">
        <v>92.81</v>
      </c>
      <c r="S19">
        <v>429.03809999999999</v>
      </c>
      <c r="T19">
        <v>386.39510000000001</v>
      </c>
      <c r="U19">
        <v>151.72370000000001</v>
      </c>
      <c r="V19" s="1">
        <f t="shared" si="0"/>
        <v>621.88009999999997</v>
      </c>
      <c r="W19">
        <f t="shared" si="1"/>
        <v>1437.3133</v>
      </c>
      <c r="X19">
        <f t="shared" si="7"/>
        <v>429.03809999999999</v>
      </c>
      <c r="AA19">
        <f t="shared" si="2"/>
        <v>312.12715000000003</v>
      </c>
      <c r="AD19">
        <f t="shared" si="3"/>
        <v>75.865399999999994</v>
      </c>
      <c r="AE19">
        <f t="shared" si="4"/>
        <v>248.1568</v>
      </c>
      <c r="AF19">
        <f t="shared" si="5"/>
        <v>1365.6352000000002</v>
      </c>
      <c r="AG19">
        <f t="shared" si="6"/>
        <v>151.72379999999998</v>
      </c>
    </row>
    <row r="20" spans="1:33" x14ac:dyDescent="0.2">
      <c r="A20" t="s">
        <v>52</v>
      </c>
      <c r="B20">
        <v>95.322100000000006</v>
      </c>
      <c r="C20">
        <v>168.9331</v>
      </c>
      <c r="D20">
        <v>211.67509999999999</v>
      </c>
      <c r="E20">
        <v>90.756600000000006</v>
      </c>
      <c r="F20">
        <v>35.845700000000001</v>
      </c>
      <c r="G20">
        <v>35.845700000000001</v>
      </c>
      <c r="H20">
        <v>72.006600000000006</v>
      </c>
      <c r="I20">
        <v>298.96699999999998</v>
      </c>
      <c r="J20">
        <v>197.77289999999999</v>
      </c>
      <c r="K20">
        <v>72.006699999999995</v>
      </c>
      <c r="L20">
        <v>298.96710000000002</v>
      </c>
      <c r="M20">
        <v>197.7732</v>
      </c>
      <c r="N20">
        <v>86.288499999999999</v>
      </c>
      <c r="O20">
        <v>411.72820000000002</v>
      </c>
      <c r="P20">
        <v>352.01510000000002</v>
      </c>
      <c r="Q20">
        <v>141.06280000000001</v>
      </c>
      <c r="R20">
        <v>86.288499999999999</v>
      </c>
      <c r="S20">
        <v>411.72809999999998</v>
      </c>
      <c r="T20">
        <v>352.01499999999999</v>
      </c>
      <c r="U20">
        <v>141.06290000000001</v>
      </c>
      <c r="V20" s="1">
        <f t="shared" si="0"/>
        <v>566.68690000000004</v>
      </c>
      <c r="W20">
        <f t="shared" si="1"/>
        <v>1330.4302</v>
      </c>
      <c r="X20">
        <f t="shared" si="7"/>
        <v>411.72815000000003</v>
      </c>
      <c r="AA20">
        <f t="shared" si="2"/>
        <v>298.96704999999997</v>
      </c>
      <c r="AD20">
        <f t="shared" si="3"/>
        <v>71.691400000000002</v>
      </c>
      <c r="AE20">
        <f t="shared" si="4"/>
        <v>215.7047</v>
      </c>
      <c r="AF20">
        <f t="shared" si="5"/>
        <v>1209.1849</v>
      </c>
      <c r="AG20">
        <f t="shared" si="6"/>
        <v>141.06285000000003</v>
      </c>
    </row>
    <row r="21" spans="1:33" x14ac:dyDescent="0.2">
      <c r="A21" t="s">
        <v>53</v>
      </c>
      <c r="B21">
        <v>99.479699999999994</v>
      </c>
      <c r="C21">
        <v>189.75399999999999</v>
      </c>
      <c r="D21">
        <v>231.9639</v>
      </c>
      <c r="E21">
        <v>92.941000000000003</v>
      </c>
      <c r="F21">
        <v>35.994199999999999</v>
      </c>
      <c r="G21">
        <v>35.994199999999999</v>
      </c>
      <c r="H21">
        <v>72.820899999999995</v>
      </c>
      <c r="I21">
        <v>281.89109999999999</v>
      </c>
      <c r="J21">
        <v>218.87119999999999</v>
      </c>
      <c r="K21">
        <v>72.820999999999998</v>
      </c>
      <c r="L21">
        <v>281.89100000000002</v>
      </c>
      <c r="M21">
        <v>218.87110000000001</v>
      </c>
      <c r="N21">
        <v>88.952399999999997</v>
      </c>
      <c r="O21">
        <v>379.81619999999998</v>
      </c>
      <c r="P21">
        <v>377.28699999999998</v>
      </c>
      <c r="Q21">
        <v>145.4178</v>
      </c>
      <c r="R21">
        <v>88.952399999999997</v>
      </c>
      <c r="S21">
        <v>379.81610000000001</v>
      </c>
      <c r="T21">
        <v>377.28710000000001</v>
      </c>
      <c r="U21">
        <v>145.4179</v>
      </c>
      <c r="V21" s="1">
        <f t="shared" si="0"/>
        <v>614.1386</v>
      </c>
      <c r="W21">
        <f t="shared" si="1"/>
        <v>1371.2418</v>
      </c>
      <c r="X21">
        <f t="shared" si="7"/>
        <v>379.81614999999999</v>
      </c>
      <c r="AA21">
        <f t="shared" si="2"/>
        <v>281.89105000000001</v>
      </c>
      <c r="AD21">
        <f t="shared" si="3"/>
        <v>71.988399999999999</v>
      </c>
      <c r="AE21">
        <f t="shared" si="4"/>
        <v>217.63030000000001</v>
      </c>
      <c r="AF21">
        <f t="shared" si="5"/>
        <v>1219.1547</v>
      </c>
      <c r="AG21">
        <f t="shared" si="6"/>
        <v>145.41784999999999</v>
      </c>
    </row>
    <row r="22" spans="1:33" x14ac:dyDescent="0.2">
      <c r="A22" t="s">
        <v>54</v>
      </c>
      <c r="B22">
        <v>130.52510000000001</v>
      </c>
      <c r="C22">
        <v>205.821</v>
      </c>
      <c r="D22">
        <v>189.11709999999999</v>
      </c>
      <c r="E22">
        <v>68.484300000000005</v>
      </c>
      <c r="F22">
        <v>58.3461</v>
      </c>
      <c r="G22">
        <v>58.3461</v>
      </c>
      <c r="H22">
        <v>68.527500000000003</v>
      </c>
      <c r="I22">
        <v>260.02</v>
      </c>
      <c r="J22">
        <v>216.19300000000001</v>
      </c>
      <c r="K22">
        <v>68.527500000000003</v>
      </c>
      <c r="L22">
        <v>260.02</v>
      </c>
      <c r="M22">
        <v>216.19300000000001</v>
      </c>
      <c r="N22">
        <v>83.517399999999995</v>
      </c>
      <c r="O22">
        <v>345.15100000000001</v>
      </c>
      <c r="P22">
        <v>361.10700000000003</v>
      </c>
      <c r="Q22">
        <v>136.53229999999999</v>
      </c>
      <c r="R22">
        <v>83.517399999999995</v>
      </c>
      <c r="S22">
        <v>345.15100000000001</v>
      </c>
      <c r="T22">
        <v>361.10700000000003</v>
      </c>
      <c r="U22">
        <v>136.53229999999999</v>
      </c>
      <c r="V22" s="1">
        <f t="shared" si="0"/>
        <v>593.94749999999988</v>
      </c>
      <c r="W22">
        <f t="shared" si="1"/>
        <v>1300.2054999999998</v>
      </c>
      <c r="X22">
        <f t="shared" si="7"/>
        <v>345.15100000000001</v>
      </c>
      <c r="AA22">
        <f t="shared" si="2"/>
        <v>260.02</v>
      </c>
      <c r="AD22">
        <f t="shared" si="3"/>
        <v>116.6922</v>
      </c>
      <c r="AE22">
        <f t="shared" si="4"/>
        <v>253.74719999999999</v>
      </c>
      <c r="AF22">
        <f t="shared" si="5"/>
        <v>1206.1732</v>
      </c>
      <c r="AG22">
        <f t="shared" si="6"/>
        <v>136.53229999999999</v>
      </c>
    </row>
    <row r="23" spans="1:33" x14ac:dyDescent="0.2">
      <c r="A23" t="s">
        <v>55</v>
      </c>
      <c r="B23">
        <v>115.54049999999999</v>
      </c>
      <c r="C23">
        <v>212.5361</v>
      </c>
      <c r="D23">
        <v>252.68799999999999</v>
      </c>
      <c r="E23">
        <v>101.3771</v>
      </c>
      <c r="F23">
        <v>42.7667</v>
      </c>
      <c r="G23">
        <v>42.766599999999997</v>
      </c>
      <c r="H23">
        <v>95.303700000000006</v>
      </c>
      <c r="I23">
        <v>322.7971</v>
      </c>
      <c r="J23">
        <v>254.80590000000001</v>
      </c>
      <c r="K23">
        <v>95.303799999999995</v>
      </c>
      <c r="L23">
        <v>322.7971</v>
      </c>
      <c r="M23">
        <v>254.80600000000001</v>
      </c>
      <c r="N23">
        <v>99.240399999999994</v>
      </c>
      <c r="O23">
        <v>424.3741</v>
      </c>
      <c r="P23">
        <v>443.06689999999998</v>
      </c>
      <c r="Q23">
        <v>162.23650000000001</v>
      </c>
      <c r="R23">
        <v>99.240399999999994</v>
      </c>
      <c r="S23">
        <v>424.37400000000002</v>
      </c>
      <c r="T23">
        <v>443.06729999999999</v>
      </c>
      <c r="U23">
        <v>162.2364</v>
      </c>
      <c r="V23" s="1">
        <f t="shared" si="0"/>
        <v>682.14170000000001</v>
      </c>
      <c r="W23">
        <f t="shared" si="1"/>
        <v>1549.5827000000002</v>
      </c>
      <c r="X23">
        <f t="shared" si="7"/>
        <v>424.37405000000001</v>
      </c>
      <c r="AA23">
        <f t="shared" si="2"/>
        <v>322.7971</v>
      </c>
      <c r="AD23">
        <f t="shared" si="3"/>
        <v>85.533299999999997</v>
      </c>
      <c r="AE23">
        <f t="shared" si="4"/>
        <v>276.14080000000001</v>
      </c>
      <c r="AF23">
        <f t="shared" si="5"/>
        <v>1431.3469</v>
      </c>
      <c r="AG23">
        <f t="shared" si="6"/>
        <v>162.23644999999999</v>
      </c>
    </row>
    <row r="24" spans="1:33" x14ac:dyDescent="0.2">
      <c r="A24" t="s">
        <v>56</v>
      </c>
      <c r="B24">
        <v>160.2406</v>
      </c>
      <c r="C24">
        <v>240.22399999999999</v>
      </c>
      <c r="D24">
        <v>219.71700000000001</v>
      </c>
      <c r="E24">
        <v>84.075100000000006</v>
      </c>
      <c r="F24">
        <v>54.229500000000002</v>
      </c>
      <c r="G24">
        <v>54.229500000000002</v>
      </c>
      <c r="H24">
        <v>84.452699999999993</v>
      </c>
      <c r="I24">
        <v>351.64499999999998</v>
      </c>
      <c r="J24">
        <v>251.22200000000001</v>
      </c>
      <c r="K24">
        <v>84.452699999999993</v>
      </c>
      <c r="L24">
        <v>351.64499999999998</v>
      </c>
      <c r="M24">
        <v>251.22200000000001</v>
      </c>
      <c r="N24">
        <v>102.53100000000001</v>
      </c>
      <c r="O24">
        <v>491.75400000000002</v>
      </c>
      <c r="P24">
        <v>453.43700000000001</v>
      </c>
      <c r="Q24">
        <v>167.61490000000001</v>
      </c>
      <c r="R24">
        <v>102.53100000000001</v>
      </c>
      <c r="S24">
        <v>491.75400000000002</v>
      </c>
      <c r="T24">
        <v>453.43700000000001</v>
      </c>
      <c r="U24">
        <v>167.61490000000001</v>
      </c>
      <c r="V24" s="1">
        <f t="shared" si="0"/>
        <v>704.25670000000002</v>
      </c>
      <c r="W24">
        <f t="shared" si="1"/>
        <v>1649.4477000000002</v>
      </c>
      <c r="X24">
        <f t="shared" si="7"/>
        <v>491.75400000000002</v>
      </c>
      <c r="AA24">
        <f t="shared" si="2"/>
        <v>351.64499999999998</v>
      </c>
      <c r="AD24">
        <f t="shared" si="3"/>
        <v>108.459</v>
      </c>
      <c r="AE24">
        <f t="shared" si="4"/>
        <v>277.36439999999999</v>
      </c>
      <c r="AF24">
        <f t="shared" si="5"/>
        <v>1483.0983999999999</v>
      </c>
      <c r="AG24">
        <f t="shared" si="6"/>
        <v>167.61490000000001</v>
      </c>
    </row>
    <row r="25" spans="1:33" x14ac:dyDescent="0.2">
      <c r="A25" t="s">
        <v>57</v>
      </c>
      <c r="B25">
        <v>90.998099999999994</v>
      </c>
      <c r="C25">
        <v>165.8211</v>
      </c>
      <c r="D25">
        <v>209.11709999999999</v>
      </c>
      <c r="E25">
        <v>88.484300000000005</v>
      </c>
      <c r="F25">
        <v>34.317700000000002</v>
      </c>
      <c r="G25">
        <v>34.317700000000002</v>
      </c>
      <c r="H25">
        <v>68.527600000000007</v>
      </c>
      <c r="I25">
        <v>260.02019999999999</v>
      </c>
      <c r="J25">
        <v>216.19319999999999</v>
      </c>
      <c r="K25">
        <v>68.527600000000007</v>
      </c>
      <c r="L25">
        <v>260.02</v>
      </c>
      <c r="M25">
        <v>216.19319999999999</v>
      </c>
      <c r="N25">
        <v>83.517399999999995</v>
      </c>
      <c r="O25">
        <v>345.15120000000002</v>
      </c>
      <c r="P25">
        <v>361.10700000000003</v>
      </c>
      <c r="Q25">
        <v>136.5324</v>
      </c>
      <c r="R25">
        <v>83.517399999999995</v>
      </c>
      <c r="S25">
        <v>345.15100000000001</v>
      </c>
      <c r="T25">
        <v>361.1071</v>
      </c>
      <c r="U25">
        <v>136.5324</v>
      </c>
      <c r="V25" s="1">
        <f t="shared" si="0"/>
        <v>554.42060000000004</v>
      </c>
      <c r="W25">
        <f t="shared" si="1"/>
        <v>1260.6788000000001</v>
      </c>
      <c r="X25">
        <f t="shared" si="7"/>
        <v>345.15110000000004</v>
      </c>
      <c r="AA25">
        <f t="shared" si="2"/>
        <v>260.02009999999996</v>
      </c>
      <c r="AD25">
        <f t="shared" si="3"/>
        <v>68.635400000000004</v>
      </c>
      <c r="AE25">
        <f t="shared" si="4"/>
        <v>205.69060000000002</v>
      </c>
      <c r="AF25">
        <f t="shared" si="5"/>
        <v>1158.1171999999999</v>
      </c>
      <c r="AG25">
        <f t="shared" si="6"/>
        <v>136.5324</v>
      </c>
    </row>
    <row r="26" spans="1:33" x14ac:dyDescent="0.2">
      <c r="A26" t="s">
        <v>58</v>
      </c>
      <c r="B26">
        <v>109.1267</v>
      </c>
      <c r="C26">
        <v>187.274</v>
      </c>
      <c r="D26">
        <v>228.24799999999999</v>
      </c>
      <c r="E26">
        <v>98.008600000000001</v>
      </c>
      <c r="F26">
        <v>43.767899999999997</v>
      </c>
      <c r="G26">
        <v>43.768000000000001</v>
      </c>
      <c r="H26">
        <v>101.0441</v>
      </c>
      <c r="I26">
        <v>306.94310000000002</v>
      </c>
      <c r="J26">
        <v>250.71809999999999</v>
      </c>
      <c r="K26">
        <v>101.04389999999999</v>
      </c>
      <c r="L26">
        <v>306.94349999999997</v>
      </c>
      <c r="M26">
        <v>250.71789999999999</v>
      </c>
      <c r="N26">
        <v>95.132300000000001</v>
      </c>
      <c r="O26">
        <v>388.37220000000002</v>
      </c>
      <c r="P26">
        <v>458.20890000000003</v>
      </c>
      <c r="Q26">
        <v>155.5198</v>
      </c>
      <c r="R26">
        <v>95.132300000000001</v>
      </c>
      <c r="S26">
        <v>388.37200000000001</v>
      </c>
      <c r="T26">
        <v>458.20929999999998</v>
      </c>
      <c r="U26">
        <v>155.51990000000001</v>
      </c>
      <c r="V26" s="1">
        <f t="shared" si="0"/>
        <v>622.65729999999996</v>
      </c>
      <c r="W26">
        <f t="shared" si="1"/>
        <v>1469.2384</v>
      </c>
      <c r="X26">
        <f t="shared" si="7"/>
        <v>388.37210000000005</v>
      </c>
      <c r="AA26">
        <f t="shared" si="2"/>
        <v>306.94330000000002</v>
      </c>
      <c r="AD26">
        <f t="shared" si="3"/>
        <v>87.535899999999998</v>
      </c>
      <c r="AE26">
        <f t="shared" si="4"/>
        <v>289.62389999999999</v>
      </c>
      <c r="AF26">
        <f t="shared" si="5"/>
        <v>1404.9465</v>
      </c>
      <c r="AG26">
        <f t="shared" si="6"/>
        <v>155.51985000000002</v>
      </c>
    </row>
    <row r="27" spans="1:33" x14ac:dyDescent="0.2">
      <c r="A27" t="s">
        <v>59</v>
      </c>
      <c r="B27">
        <v>123.6983</v>
      </c>
      <c r="C27">
        <v>218.55199999999999</v>
      </c>
      <c r="D27">
        <v>257.65899999999999</v>
      </c>
      <c r="E27">
        <v>105.6617</v>
      </c>
      <c r="F27">
        <v>43.228299999999997</v>
      </c>
      <c r="G27">
        <v>43.228299999999997</v>
      </c>
      <c r="H27">
        <v>112.39</v>
      </c>
      <c r="I27">
        <v>315.05099999999999</v>
      </c>
      <c r="J27">
        <v>288.23809999999997</v>
      </c>
      <c r="K27">
        <v>112.39</v>
      </c>
      <c r="L27">
        <v>315.05110000000002</v>
      </c>
      <c r="M27">
        <v>288.23809999999997</v>
      </c>
      <c r="N27">
        <v>104.465</v>
      </c>
      <c r="O27">
        <v>429.13099999999997</v>
      </c>
      <c r="P27">
        <v>490.947</v>
      </c>
      <c r="Q27">
        <v>170.77770000000001</v>
      </c>
      <c r="R27">
        <v>104.465</v>
      </c>
      <c r="S27">
        <v>429.1309</v>
      </c>
      <c r="T27">
        <v>490.94720000000001</v>
      </c>
      <c r="U27">
        <v>170.77780000000001</v>
      </c>
      <c r="V27" s="1">
        <f t="shared" si="0"/>
        <v>705.57100000000003</v>
      </c>
      <c r="W27">
        <f t="shared" si="1"/>
        <v>1625.6489999999999</v>
      </c>
      <c r="X27">
        <f t="shared" si="7"/>
        <v>429.13094999999998</v>
      </c>
      <c r="AA27">
        <f t="shared" si="2"/>
        <v>315.05105000000003</v>
      </c>
      <c r="AD27">
        <f t="shared" si="3"/>
        <v>86.456599999999995</v>
      </c>
      <c r="AE27">
        <f t="shared" si="4"/>
        <v>311.23660000000001</v>
      </c>
      <c r="AF27">
        <f t="shared" si="5"/>
        <v>1517.8149000000001</v>
      </c>
      <c r="AG27">
        <f t="shared" si="6"/>
        <v>170.77775000000003</v>
      </c>
    </row>
    <row r="28" spans="1:33" x14ac:dyDescent="0.2">
      <c r="A28" t="s">
        <v>60</v>
      </c>
      <c r="B28">
        <v>130.52510000000001</v>
      </c>
      <c r="C28">
        <v>205.821</v>
      </c>
      <c r="D28">
        <v>189.11709999999999</v>
      </c>
      <c r="E28">
        <v>68.484300000000005</v>
      </c>
      <c r="F28">
        <v>58.3461</v>
      </c>
      <c r="G28">
        <v>58.3461</v>
      </c>
      <c r="H28">
        <v>68.527500000000003</v>
      </c>
      <c r="I28">
        <v>260.02</v>
      </c>
      <c r="J28">
        <v>216.19300000000001</v>
      </c>
      <c r="K28">
        <v>68.527500000000003</v>
      </c>
      <c r="L28">
        <v>260.02</v>
      </c>
      <c r="M28">
        <v>216.19300000000001</v>
      </c>
      <c r="N28">
        <v>83.517399999999995</v>
      </c>
      <c r="O28">
        <v>345.15100000000001</v>
      </c>
      <c r="P28">
        <v>361.10700000000003</v>
      </c>
      <c r="Q28">
        <v>136.53229999999999</v>
      </c>
      <c r="R28">
        <v>83.517399999999995</v>
      </c>
      <c r="S28">
        <v>345.15100000000001</v>
      </c>
      <c r="T28">
        <v>361.10700000000003</v>
      </c>
      <c r="U28">
        <v>136.53229999999999</v>
      </c>
      <c r="V28" s="1">
        <f t="shared" si="0"/>
        <v>593.94749999999988</v>
      </c>
      <c r="W28">
        <f t="shared" si="1"/>
        <v>1300.2054999999998</v>
      </c>
      <c r="X28">
        <f t="shared" si="7"/>
        <v>345.15100000000001</v>
      </c>
      <c r="AA28">
        <f t="shared" si="2"/>
        <v>260.02</v>
      </c>
      <c r="AD28">
        <f t="shared" si="3"/>
        <v>116.6922</v>
      </c>
      <c r="AE28">
        <f t="shared" si="4"/>
        <v>253.74719999999999</v>
      </c>
      <c r="AF28">
        <f t="shared" si="5"/>
        <v>1206.1732</v>
      </c>
      <c r="AG28">
        <f t="shared" si="6"/>
        <v>136.53229999999999</v>
      </c>
    </row>
    <row r="29" spans="1:33" x14ac:dyDescent="0.2">
      <c r="A29" t="s">
        <v>61</v>
      </c>
      <c r="B29">
        <v>92.506299999999996</v>
      </c>
      <c r="C29">
        <v>170.96019999999999</v>
      </c>
      <c r="D29">
        <v>214.06299999999999</v>
      </c>
      <c r="E29">
        <v>89.276700000000005</v>
      </c>
      <c r="F29">
        <v>33.930700000000002</v>
      </c>
      <c r="G29">
        <v>33.930700000000002</v>
      </c>
      <c r="H29">
        <v>69.772099999999995</v>
      </c>
      <c r="I29">
        <v>285.42419999999998</v>
      </c>
      <c r="J29">
        <v>214.14609999999999</v>
      </c>
      <c r="K29">
        <v>69.772099999999995</v>
      </c>
      <c r="L29">
        <v>285.42419999999998</v>
      </c>
      <c r="M29">
        <v>214.14609999999999</v>
      </c>
      <c r="N29">
        <v>84.483800000000002</v>
      </c>
      <c r="O29">
        <v>363.41320000000002</v>
      </c>
      <c r="P29">
        <v>349.82619999999997</v>
      </c>
      <c r="Q29">
        <v>138.11259999999999</v>
      </c>
      <c r="R29">
        <v>84.483800000000002</v>
      </c>
      <c r="S29">
        <v>363.41309999999999</v>
      </c>
      <c r="T29">
        <v>349.8261</v>
      </c>
      <c r="U29">
        <v>138.11259999999999</v>
      </c>
      <c r="V29" s="1">
        <f t="shared" si="0"/>
        <v>566.80619999999999</v>
      </c>
      <c r="W29">
        <f t="shared" si="1"/>
        <v>1280.0455999999999</v>
      </c>
      <c r="X29">
        <f t="shared" si="7"/>
        <v>363.41314999999997</v>
      </c>
      <c r="AA29">
        <f t="shared" si="2"/>
        <v>285.42419999999998</v>
      </c>
      <c r="AD29">
        <f t="shared" si="3"/>
        <v>67.861400000000003</v>
      </c>
      <c r="AE29">
        <f t="shared" si="4"/>
        <v>207.40559999999999</v>
      </c>
      <c r="AF29">
        <f t="shared" si="5"/>
        <v>1206.5462</v>
      </c>
      <c r="AG29">
        <f t="shared" si="6"/>
        <v>138.11259999999999</v>
      </c>
    </row>
    <row r="30" spans="1:33" x14ac:dyDescent="0.2">
      <c r="A30" t="s">
        <v>62</v>
      </c>
      <c r="B30">
        <v>96.848600000000005</v>
      </c>
      <c r="C30">
        <v>179.2321</v>
      </c>
      <c r="D30">
        <v>221.77789999999999</v>
      </c>
      <c r="E30">
        <v>91.558300000000003</v>
      </c>
      <c r="F30">
        <v>34.671900000000001</v>
      </c>
      <c r="G30">
        <v>34.671900000000001</v>
      </c>
      <c r="H30">
        <v>72.567400000000006</v>
      </c>
      <c r="I30">
        <v>282.11900000000003</v>
      </c>
      <c r="J30">
        <v>227.2441</v>
      </c>
      <c r="K30">
        <v>72.567400000000006</v>
      </c>
      <c r="L30">
        <v>282.11900000000003</v>
      </c>
      <c r="M30">
        <v>227.2441</v>
      </c>
      <c r="N30">
        <v>87.266199999999998</v>
      </c>
      <c r="O30">
        <v>394.87200000000001</v>
      </c>
      <c r="P30">
        <v>372.01310000000001</v>
      </c>
      <c r="Q30">
        <v>142.66069999999999</v>
      </c>
      <c r="R30">
        <v>87.266199999999998</v>
      </c>
      <c r="S30">
        <v>394.87209999999999</v>
      </c>
      <c r="T30">
        <v>372.01310000000001</v>
      </c>
      <c r="U30">
        <v>142.66059999999999</v>
      </c>
      <c r="V30" s="1">
        <f t="shared" si="0"/>
        <v>589.41689999999994</v>
      </c>
      <c r="W30">
        <f t="shared" si="1"/>
        <v>1356.3020000000001</v>
      </c>
      <c r="X30">
        <f t="shared" si="7"/>
        <v>394.87205</v>
      </c>
      <c r="AA30">
        <f t="shared" si="2"/>
        <v>282.11900000000003</v>
      </c>
      <c r="AD30">
        <f t="shared" si="3"/>
        <v>69.343800000000002</v>
      </c>
      <c r="AE30">
        <f t="shared" si="4"/>
        <v>214.47860000000003</v>
      </c>
      <c r="AF30">
        <f t="shared" si="5"/>
        <v>1233.2048</v>
      </c>
      <c r="AG30">
        <f t="shared" si="6"/>
        <v>142.66064999999998</v>
      </c>
    </row>
    <row r="31" spans="1:33" x14ac:dyDescent="0.2">
      <c r="A31" t="s">
        <v>63</v>
      </c>
      <c r="B31">
        <v>106.246</v>
      </c>
      <c r="C31">
        <v>189.71279999999999</v>
      </c>
      <c r="D31">
        <v>231.05500000000001</v>
      </c>
      <c r="E31">
        <v>96.495099999999994</v>
      </c>
      <c r="F31">
        <v>37.759</v>
      </c>
      <c r="G31">
        <v>37.759099999999997</v>
      </c>
      <c r="H31">
        <v>103.11199999999999</v>
      </c>
      <c r="I31">
        <v>315.07010000000002</v>
      </c>
      <c r="J31">
        <v>253.2201</v>
      </c>
      <c r="K31">
        <v>103.11199999999999</v>
      </c>
      <c r="L31">
        <v>315.0702</v>
      </c>
      <c r="M31">
        <v>253.22</v>
      </c>
      <c r="N31">
        <v>93.286799999999999</v>
      </c>
      <c r="O31">
        <v>405.02120000000002</v>
      </c>
      <c r="P31">
        <v>422.05799999999999</v>
      </c>
      <c r="Q31">
        <v>152.50319999999999</v>
      </c>
      <c r="R31">
        <v>93.286799999999999</v>
      </c>
      <c r="S31">
        <v>405.02100000000002</v>
      </c>
      <c r="T31">
        <v>422.05810000000002</v>
      </c>
      <c r="U31">
        <v>152.50299999999999</v>
      </c>
      <c r="V31" s="1">
        <f t="shared" si="0"/>
        <v>623.50889999999993</v>
      </c>
      <c r="W31">
        <f t="shared" si="1"/>
        <v>1450.5880999999999</v>
      </c>
      <c r="X31">
        <f t="shared" si="7"/>
        <v>405.02110000000005</v>
      </c>
      <c r="AA31">
        <f t="shared" si="2"/>
        <v>315.07015000000001</v>
      </c>
      <c r="AD31">
        <f t="shared" si="3"/>
        <v>75.518100000000004</v>
      </c>
      <c r="AE31">
        <f t="shared" si="4"/>
        <v>281.74209999999999</v>
      </c>
      <c r="AF31">
        <f t="shared" si="5"/>
        <v>1418.3225</v>
      </c>
      <c r="AG31">
        <f t="shared" si="6"/>
        <v>152.50309999999999</v>
      </c>
    </row>
    <row r="32" spans="1:33" x14ac:dyDescent="0.2">
      <c r="A32" t="s">
        <v>64</v>
      </c>
      <c r="B32">
        <v>101.4435</v>
      </c>
      <c r="C32">
        <v>165.77789999999999</v>
      </c>
      <c r="D32">
        <v>207.7362</v>
      </c>
      <c r="E32">
        <v>93.972700000000003</v>
      </c>
      <c r="F32">
        <v>36.6539</v>
      </c>
      <c r="G32">
        <v>36.6539</v>
      </c>
      <c r="H32">
        <v>76.9298</v>
      </c>
      <c r="I32">
        <v>318.30700000000002</v>
      </c>
      <c r="J32">
        <v>235.24709999999999</v>
      </c>
      <c r="K32">
        <v>76.929699999999997</v>
      </c>
      <c r="L32">
        <v>318.30720000000002</v>
      </c>
      <c r="M32">
        <v>235.24690000000001</v>
      </c>
      <c r="N32">
        <v>90.210499999999996</v>
      </c>
      <c r="O32">
        <v>406.83300000000003</v>
      </c>
      <c r="P32">
        <v>436.35700000000003</v>
      </c>
      <c r="Q32">
        <v>147.4744</v>
      </c>
      <c r="R32">
        <v>90.210499999999996</v>
      </c>
      <c r="S32">
        <v>406.8331</v>
      </c>
      <c r="T32">
        <v>436.3571</v>
      </c>
      <c r="U32">
        <v>147.4744</v>
      </c>
      <c r="V32" s="1">
        <f t="shared" si="0"/>
        <v>568.93029999999999</v>
      </c>
      <c r="W32">
        <f t="shared" si="1"/>
        <v>1412.1203</v>
      </c>
      <c r="X32">
        <f t="shared" si="7"/>
        <v>406.83305000000001</v>
      </c>
      <c r="AA32">
        <f t="shared" si="2"/>
        <v>318.30709999999999</v>
      </c>
      <c r="AD32">
        <f t="shared" si="3"/>
        <v>73.3078</v>
      </c>
      <c r="AE32">
        <f t="shared" si="4"/>
        <v>227.16729999999998</v>
      </c>
      <c r="AF32">
        <f t="shared" si="5"/>
        <v>1334.2755000000002</v>
      </c>
      <c r="AG32">
        <f t="shared" si="6"/>
        <v>147.4744</v>
      </c>
    </row>
    <row r="33" spans="1:33" x14ac:dyDescent="0.2">
      <c r="A33" t="s">
        <v>65</v>
      </c>
      <c r="B33">
        <v>95.079499999999996</v>
      </c>
      <c r="C33">
        <v>163.25899999999999</v>
      </c>
      <c r="D33">
        <v>206.03190000000001</v>
      </c>
      <c r="E33">
        <v>90.628699999999995</v>
      </c>
      <c r="F33">
        <v>38.641800000000003</v>
      </c>
      <c r="G33">
        <v>38.641800000000003</v>
      </c>
      <c r="H33">
        <v>94.079599999999999</v>
      </c>
      <c r="I33">
        <v>274.54489999999998</v>
      </c>
      <c r="J33">
        <v>183.42609999999999</v>
      </c>
      <c r="K33">
        <v>94.079599999999999</v>
      </c>
      <c r="L33">
        <v>274.54489999999998</v>
      </c>
      <c r="M33">
        <v>183.42609999999999</v>
      </c>
      <c r="N33">
        <v>86.132599999999996</v>
      </c>
      <c r="O33">
        <v>369.62490000000003</v>
      </c>
      <c r="P33">
        <v>376.35090000000002</v>
      </c>
      <c r="Q33">
        <v>140.80779999999999</v>
      </c>
      <c r="R33">
        <v>86.132599999999996</v>
      </c>
      <c r="S33">
        <v>369.62479999999999</v>
      </c>
      <c r="T33">
        <v>376.35109999999997</v>
      </c>
      <c r="U33">
        <v>140.80770000000001</v>
      </c>
      <c r="V33" s="1">
        <f t="shared" si="0"/>
        <v>554.9991</v>
      </c>
      <c r="W33">
        <f t="shared" si="1"/>
        <v>1300.9749000000002</v>
      </c>
      <c r="X33">
        <f t="shared" si="7"/>
        <v>369.62485000000004</v>
      </c>
      <c r="AA33">
        <f t="shared" si="2"/>
        <v>274.54489999999998</v>
      </c>
      <c r="AD33">
        <f t="shared" si="3"/>
        <v>77.283600000000007</v>
      </c>
      <c r="AE33">
        <f t="shared" si="4"/>
        <v>265.44280000000003</v>
      </c>
      <c r="AF33">
        <f t="shared" si="5"/>
        <v>1181.3848</v>
      </c>
      <c r="AG33">
        <f t="shared" si="6"/>
        <v>140.80775</v>
      </c>
    </row>
    <row r="34" spans="1:33" x14ac:dyDescent="0.2">
      <c r="A34" t="s">
        <v>66</v>
      </c>
      <c r="B34">
        <v>108.3822</v>
      </c>
      <c r="C34">
        <v>241.49700000000001</v>
      </c>
      <c r="D34">
        <v>282.56580000000002</v>
      </c>
      <c r="E34">
        <v>97.617400000000004</v>
      </c>
      <c r="F34">
        <v>38.106000000000002</v>
      </c>
      <c r="G34">
        <v>38.105899999999998</v>
      </c>
      <c r="H34">
        <v>83.007099999999994</v>
      </c>
      <c r="I34">
        <v>301.26</v>
      </c>
      <c r="J34">
        <v>268.66219999999998</v>
      </c>
      <c r="K34">
        <v>83.007099999999994</v>
      </c>
      <c r="L34">
        <v>301.26</v>
      </c>
      <c r="M34">
        <v>268.66199999999998</v>
      </c>
      <c r="N34">
        <v>94.6554</v>
      </c>
      <c r="O34">
        <v>361.96089999999998</v>
      </c>
      <c r="P34">
        <v>397.94389999999999</v>
      </c>
      <c r="Q34">
        <v>154.74039999999999</v>
      </c>
      <c r="R34">
        <v>94.6554</v>
      </c>
      <c r="S34">
        <v>361.96089999999998</v>
      </c>
      <c r="T34">
        <v>397.94409999999999</v>
      </c>
      <c r="U34">
        <v>154.7406</v>
      </c>
      <c r="V34" s="1">
        <f t="shared" si="0"/>
        <v>730.06240000000003</v>
      </c>
      <c r="W34">
        <f t="shared" si="1"/>
        <v>1489.9672</v>
      </c>
      <c r="X34">
        <f t="shared" si="7"/>
        <v>361.96089999999998</v>
      </c>
      <c r="AA34">
        <f t="shared" si="2"/>
        <v>301.26</v>
      </c>
      <c r="AD34">
        <f t="shared" si="3"/>
        <v>76.2119</v>
      </c>
      <c r="AE34">
        <f t="shared" si="4"/>
        <v>242.22609999999997</v>
      </c>
      <c r="AF34">
        <f t="shared" si="5"/>
        <v>1382.0703000000001</v>
      </c>
      <c r="AG34">
        <f t="shared" si="6"/>
        <v>154.7405</v>
      </c>
    </row>
    <row r="35" spans="1:33" x14ac:dyDescent="0.2">
      <c r="A35" t="s">
        <v>67</v>
      </c>
      <c r="B35">
        <v>103.3466</v>
      </c>
      <c r="C35">
        <v>141.25919999999999</v>
      </c>
      <c r="D35">
        <v>182.97300000000001</v>
      </c>
      <c r="E35">
        <v>94.972099999999998</v>
      </c>
      <c r="F35">
        <v>37.651000000000003</v>
      </c>
      <c r="G35">
        <v>37.651000000000003</v>
      </c>
      <c r="H35">
        <v>85.197100000000006</v>
      </c>
      <c r="I35">
        <v>310.76499999999999</v>
      </c>
      <c r="J35">
        <v>239.14009999999999</v>
      </c>
      <c r="K35">
        <v>85.197000000000003</v>
      </c>
      <c r="L35">
        <v>310.76519999999999</v>
      </c>
      <c r="M35">
        <v>239.14009999999999</v>
      </c>
      <c r="N35">
        <v>91.429400000000001</v>
      </c>
      <c r="O35">
        <v>458.2002</v>
      </c>
      <c r="P35">
        <v>420.46499999999997</v>
      </c>
      <c r="Q35">
        <v>149.46680000000001</v>
      </c>
      <c r="R35">
        <v>91.429400000000001</v>
      </c>
      <c r="S35">
        <v>458.2002</v>
      </c>
      <c r="T35">
        <v>420.46510000000001</v>
      </c>
      <c r="U35">
        <v>149.46680000000001</v>
      </c>
      <c r="V35" s="1">
        <f t="shared" si="0"/>
        <v>522.55089999999996</v>
      </c>
      <c r="W35">
        <f t="shared" si="1"/>
        <v>1401.2160999999999</v>
      </c>
      <c r="X35">
        <f t="shared" si="7"/>
        <v>458.2002</v>
      </c>
      <c r="AA35">
        <f t="shared" si="2"/>
        <v>310.76509999999996</v>
      </c>
      <c r="AD35">
        <f t="shared" si="3"/>
        <v>75.302000000000007</v>
      </c>
      <c r="AE35">
        <f t="shared" si="4"/>
        <v>245.6961</v>
      </c>
      <c r="AF35">
        <f t="shared" si="5"/>
        <v>1345.5065</v>
      </c>
      <c r="AG35">
        <f t="shared" si="6"/>
        <v>149.46680000000001</v>
      </c>
    </row>
    <row r="36" spans="1:33" x14ac:dyDescent="0.2">
      <c r="A36" t="s">
        <v>68</v>
      </c>
      <c r="B36">
        <v>139.79689999999999</v>
      </c>
      <c r="C36">
        <v>228.2415</v>
      </c>
      <c r="D36">
        <v>208.07849999999999</v>
      </c>
      <c r="E36">
        <v>69.361800000000002</v>
      </c>
      <c r="F36">
        <v>42.010199999999998</v>
      </c>
      <c r="G36">
        <v>42.010199999999998</v>
      </c>
      <c r="H36">
        <v>76.008899999999997</v>
      </c>
      <c r="I36">
        <v>299.45909999999998</v>
      </c>
      <c r="J36">
        <v>248.3759</v>
      </c>
      <c r="K36">
        <v>76.008799999999994</v>
      </c>
      <c r="L36">
        <v>299.45909999999998</v>
      </c>
      <c r="M36">
        <v>248.37610000000001</v>
      </c>
      <c r="N36">
        <v>92.530699999999996</v>
      </c>
      <c r="O36">
        <v>419.03609999999998</v>
      </c>
      <c r="P36">
        <v>413.56400000000002</v>
      </c>
      <c r="Q36">
        <v>151.2672</v>
      </c>
      <c r="R36">
        <v>92.530699999999996</v>
      </c>
      <c r="S36">
        <v>419.03609999999998</v>
      </c>
      <c r="T36">
        <v>413.5641</v>
      </c>
      <c r="U36">
        <v>151.2672</v>
      </c>
      <c r="V36" s="1">
        <f t="shared" si="0"/>
        <v>645.4787</v>
      </c>
      <c r="W36">
        <f t="shared" si="1"/>
        <v>1478.0788</v>
      </c>
      <c r="X36">
        <f t="shared" si="7"/>
        <v>419.03609999999998</v>
      </c>
      <c r="AA36">
        <f t="shared" si="2"/>
        <v>299.45909999999998</v>
      </c>
      <c r="AD36">
        <f t="shared" si="3"/>
        <v>84.020399999999995</v>
      </c>
      <c r="AE36">
        <f t="shared" si="4"/>
        <v>236.03809999999999</v>
      </c>
      <c r="AF36">
        <f t="shared" si="5"/>
        <v>1331.7082999999998</v>
      </c>
      <c r="AG36">
        <f t="shared" si="6"/>
        <v>151.2672</v>
      </c>
    </row>
    <row r="37" spans="1:33" x14ac:dyDescent="0.2">
      <c r="A37" t="s">
        <v>69</v>
      </c>
      <c r="B37">
        <v>92.361500000000007</v>
      </c>
      <c r="C37">
        <v>186.3621</v>
      </c>
      <c r="D37">
        <v>229.48400000000001</v>
      </c>
      <c r="E37">
        <v>89.200500000000005</v>
      </c>
      <c r="F37">
        <v>34.302700000000002</v>
      </c>
      <c r="G37">
        <v>34.302700000000002</v>
      </c>
      <c r="H37">
        <v>69.374399999999994</v>
      </c>
      <c r="I37">
        <v>273.065</v>
      </c>
      <c r="J37">
        <v>228.9341</v>
      </c>
      <c r="K37">
        <v>69.374300000000005</v>
      </c>
      <c r="L37">
        <v>273.06509999999997</v>
      </c>
      <c r="M37">
        <v>228.9342</v>
      </c>
      <c r="N37">
        <v>84.390799999999999</v>
      </c>
      <c r="O37">
        <v>356.44990000000001</v>
      </c>
      <c r="P37">
        <v>348.46679999999998</v>
      </c>
      <c r="Q37">
        <v>137.96019999999999</v>
      </c>
      <c r="R37">
        <v>84.390799999999999</v>
      </c>
      <c r="S37">
        <v>356.44990000000001</v>
      </c>
      <c r="T37">
        <v>348.46699999999998</v>
      </c>
      <c r="U37">
        <v>137.96010000000001</v>
      </c>
      <c r="V37" s="1">
        <f t="shared" si="0"/>
        <v>597.4081000000001</v>
      </c>
      <c r="W37">
        <f t="shared" si="1"/>
        <v>1302.3248000000001</v>
      </c>
      <c r="X37">
        <f t="shared" si="7"/>
        <v>356.44990000000001</v>
      </c>
      <c r="AA37">
        <f t="shared" si="2"/>
        <v>273.06504999999999</v>
      </c>
      <c r="AD37">
        <f t="shared" si="3"/>
        <v>68.605400000000003</v>
      </c>
      <c r="AE37">
        <f t="shared" si="4"/>
        <v>207.35410000000002</v>
      </c>
      <c r="AF37">
        <f t="shared" si="5"/>
        <v>1211.3525</v>
      </c>
      <c r="AG37">
        <f t="shared" si="6"/>
        <v>137.96015</v>
      </c>
    </row>
    <row r="38" spans="1:33" x14ac:dyDescent="0.2">
      <c r="A38" t="s">
        <v>70</v>
      </c>
      <c r="B38">
        <v>104.2861</v>
      </c>
      <c r="C38">
        <v>172.2611</v>
      </c>
      <c r="D38">
        <v>213.85499999999999</v>
      </c>
      <c r="E38">
        <v>95.466099999999997</v>
      </c>
      <c r="F38">
        <v>37.022100000000002</v>
      </c>
      <c r="G38">
        <v>37.022100000000002</v>
      </c>
      <c r="H38">
        <v>97.398899999999998</v>
      </c>
      <c r="I38">
        <v>289.44319999999999</v>
      </c>
      <c r="J38">
        <v>224.40610000000001</v>
      </c>
      <c r="K38">
        <v>97.399000000000001</v>
      </c>
      <c r="L38">
        <v>289.44299999999998</v>
      </c>
      <c r="M38">
        <v>224.40610000000001</v>
      </c>
      <c r="N38">
        <v>92.031899999999993</v>
      </c>
      <c r="O38">
        <v>418.27910000000003</v>
      </c>
      <c r="P38">
        <v>431.45409999999998</v>
      </c>
      <c r="Q38">
        <v>150.45179999999999</v>
      </c>
      <c r="R38">
        <v>92.031899999999993</v>
      </c>
      <c r="S38">
        <v>418.27910000000003</v>
      </c>
      <c r="T38">
        <v>431.45400000000001</v>
      </c>
      <c r="U38">
        <v>150.45179999999999</v>
      </c>
      <c r="V38" s="1">
        <f t="shared" si="0"/>
        <v>585.86829999999998</v>
      </c>
      <c r="W38">
        <f t="shared" si="1"/>
        <v>1435.6015</v>
      </c>
      <c r="X38">
        <f t="shared" si="7"/>
        <v>418.27910000000003</v>
      </c>
      <c r="AA38">
        <f t="shared" si="2"/>
        <v>289.44309999999996</v>
      </c>
      <c r="AD38">
        <f t="shared" si="3"/>
        <v>74.044200000000004</v>
      </c>
      <c r="AE38">
        <f t="shared" si="4"/>
        <v>268.84210000000002</v>
      </c>
      <c r="AF38">
        <f t="shared" si="5"/>
        <v>1296.5404999999998</v>
      </c>
      <c r="AG38">
        <f t="shared" si="6"/>
        <v>150.45179999999999</v>
      </c>
    </row>
    <row r="39" spans="1:33" x14ac:dyDescent="0.2">
      <c r="A39" t="s">
        <v>71</v>
      </c>
      <c r="B39">
        <v>104.75960000000001</v>
      </c>
      <c r="C39">
        <v>191.50200000000001</v>
      </c>
      <c r="D39">
        <v>233.0351</v>
      </c>
      <c r="E39">
        <v>95.714600000000004</v>
      </c>
      <c r="F39">
        <v>38.534399999999998</v>
      </c>
      <c r="G39">
        <v>38.534300000000002</v>
      </c>
      <c r="H39">
        <v>75.664299999999997</v>
      </c>
      <c r="I39">
        <v>317.50709999999998</v>
      </c>
      <c r="J39">
        <v>239.95490000000001</v>
      </c>
      <c r="K39">
        <v>75.664400000000001</v>
      </c>
      <c r="L39">
        <v>317.50709999999998</v>
      </c>
      <c r="M39">
        <v>239.95509999999999</v>
      </c>
      <c r="N39">
        <v>92.334800000000001</v>
      </c>
      <c r="O39">
        <v>423.2722</v>
      </c>
      <c r="P39">
        <v>408.83120000000002</v>
      </c>
      <c r="Q39">
        <v>150.9468</v>
      </c>
      <c r="R39">
        <v>92.334800000000001</v>
      </c>
      <c r="S39">
        <v>423.27190000000002</v>
      </c>
      <c r="T39">
        <v>408.83100000000002</v>
      </c>
      <c r="U39">
        <v>150.94669999999999</v>
      </c>
      <c r="V39" s="1">
        <f t="shared" si="0"/>
        <v>625.01130000000012</v>
      </c>
      <c r="W39">
        <f t="shared" si="1"/>
        <v>1457.1147000000001</v>
      </c>
      <c r="X39">
        <f t="shared" si="7"/>
        <v>423.27205000000004</v>
      </c>
      <c r="AA39">
        <f t="shared" si="2"/>
        <v>317.50709999999998</v>
      </c>
      <c r="AD39">
        <f t="shared" si="3"/>
        <v>77.068700000000007</v>
      </c>
      <c r="AE39">
        <f t="shared" si="4"/>
        <v>228.3974</v>
      </c>
      <c r="AF39">
        <f t="shared" si="5"/>
        <v>1343.3215999999998</v>
      </c>
      <c r="AG39">
        <f t="shared" si="6"/>
        <v>150.94675000000001</v>
      </c>
    </row>
    <row r="40" spans="1:33" x14ac:dyDescent="0.2">
      <c r="A40" t="s">
        <v>72</v>
      </c>
      <c r="B40">
        <v>103.3466</v>
      </c>
      <c r="C40">
        <v>141.2594</v>
      </c>
      <c r="D40">
        <v>182.97290000000001</v>
      </c>
      <c r="E40">
        <v>94.972099999999998</v>
      </c>
      <c r="F40">
        <v>37.6509</v>
      </c>
      <c r="G40">
        <v>37.6511</v>
      </c>
      <c r="H40">
        <v>85.197100000000006</v>
      </c>
      <c r="I40">
        <v>310.76499999999999</v>
      </c>
      <c r="J40">
        <v>239.14009999999999</v>
      </c>
      <c r="K40">
        <v>85.197000000000003</v>
      </c>
      <c r="L40">
        <v>310.76519999999999</v>
      </c>
      <c r="M40">
        <v>239.14019999999999</v>
      </c>
      <c r="N40">
        <v>91.429400000000001</v>
      </c>
      <c r="O40">
        <v>458.2002</v>
      </c>
      <c r="P40">
        <v>420.46530000000001</v>
      </c>
      <c r="Q40">
        <v>149.46690000000001</v>
      </c>
      <c r="R40">
        <v>91.429400000000001</v>
      </c>
      <c r="S40">
        <v>458.20030000000003</v>
      </c>
      <c r="T40">
        <v>420.46510000000001</v>
      </c>
      <c r="U40">
        <v>149.46680000000001</v>
      </c>
      <c r="V40" s="1">
        <f t="shared" si="0"/>
        <v>522.55099999999993</v>
      </c>
      <c r="W40">
        <f t="shared" si="1"/>
        <v>1401.2165</v>
      </c>
      <c r="X40">
        <f t="shared" si="7"/>
        <v>458.20024999999998</v>
      </c>
      <c r="AA40">
        <f t="shared" si="2"/>
        <v>310.76509999999996</v>
      </c>
      <c r="AD40">
        <f t="shared" si="3"/>
        <v>75.301999999999992</v>
      </c>
      <c r="AE40">
        <f t="shared" si="4"/>
        <v>245.6961</v>
      </c>
      <c r="AF40">
        <f t="shared" si="5"/>
        <v>1345.5065999999999</v>
      </c>
      <c r="AG40">
        <f t="shared" si="6"/>
        <v>149.46685000000002</v>
      </c>
    </row>
    <row r="41" spans="1:33" x14ac:dyDescent="0.2">
      <c r="A41" t="s">
        <v>73</v>
      </c>
      <c r="B41">
        <v>107.7426</v>
      </c>
      <c r="C41">
        <v>175.78210000000001</v>
      </c>
      <c r="D41">
        <v>216.93299999999999</v>
      </c>
      <c r="E41">
        <v>97.281700000000001</v>
      </c>
      <c r="F41">
        <v>37.726300000000002</v>
      </c>
      <c r="G41">
        <v>37.726300000000002</v>
      </c>
      <c r="H41">
        <v>84.502499999999998</v>
      </c>
      <c r="I41">
        <v>328.23820000000001</v>
      </c>
      <c r="J41">
        <v>253.86</v>
      </c>
      <c r="K41">
        <v>84.502499999999998</v>
      </c>
      <c r="L41">
        <v>328.23809999999997</v>
      </c>
      <c r="M41">
        <v>253.86</v>
      </c>
      <c r="N41">
        <v>94.245900000000006</v>
      </c>
      <c r="O41">
        <v>447.14519999999999</v>
      </c>
      <c r="P41">
        <v>430.84219999999999</v>
      </c>
      <c r="Q41">
        <v>154.07140000000001</v>
      </c>
      <c r="R41">
        <v>94.245900000000006</v>
      </c>
      <c r="S41">
        <v>447.14530000000002</v>
      </c>
      <c r="T41">
        <v>430.84219999999999</v>
      </c>
      <c r="U41">
        <v>154.07140000000001</v>
      </c>
      <c r="V41" s="1">
        <f t="shared" si="0"/>
        <v>597.73939999999993</v>
      </c>
      <c r="W41">
        <f t="shared" si="1"/>
        <v>1475.7267999999999</v>
      </c>
      <c r="X41">
        <f t="shared" si="7"/>
        <v>447.14525000000003</v>
      </c>
      <c r="AA41">
        <f t="shared" si="2"/>
        <v>328.23815000000002</v>
      </c>
      <c r="AD41">
        <f t="shared" si="3"/>
        <v>75.452600000000004</v>
      </c>
      <c r="AE41">
        <f t="shared" si="4"/>
        <v>244.45760000000001</v>
      </c>
      <c r="AF41">
        <f t="shared" si="5"/>
        <v>1408.6539000000002</v>
      </c>
      <c r="AG41">
        <f t="shared" si="6"/>
        <v>154.07140000000001</v>
      </c>
    </row>
    <row r="42" spans="1:33" x14ac:dyDescent="0.2">
      <c r="A42" t="s">
        <v>74</v>
      </c>
      <c r="B42">
        <v>104.7534</v>
      </c>
      <c r="C42">
        <v>210.80500000000001</v>
      </c>
      <c r="D42">
        <v>252.3389</v>
      </c>
      <c r="E42">
        <v>95.711799999999997</v>
      </c>
      <c r="F42">
        <v>37.7378</v>
      </c>
      <c r="G42">
        <v>37.737699999999997</v>
      </c>
      <c r="H42">
        <v>89.796499999999995</v>
      </c>
      <c r="I42">
        <v>289.45920000000001</v>
      </c>
      <c r="J42">
        <v>219.8571</v>
      </c>
      <c r="K42">
        <v>89.796700000000001</v>
      </c>
      <c r="L42">
        <v>289.45890000000003</v>
      </c>
      <c r="M42">
        <v>219.8571</v>
      </c>
      <c r="N42">
        <v>92.331299999999999</v>
      </c>
      <c r="O42">
        <v>402.63200000000001</v>
      </c>
      <c r="P42">
        <v>392.53800000000001</v>
      </c>
      <c r="Q42">
        <v>150.94130000000001</v>
      </c>
      <c r="R42">
        <v>92.331299999999999</v>
      </c>
      <c r="S42">
        <v>402.63220000000001</v>
      </c>
      <c r="T42">
        <v>392.53820000000002</v>
      </c>
      <c r="U42">
        <v>150.94130000000001</v>
      </c>
      <c r="V42" s="1">
        <f t="shared" si="0"/>
        <v>663.60910000000001</v>
      </c>
      <c r="W42">
        <f t="shared" si="1"/>
        <v>1458.7791</v>
      </c>
      <c r="X42">
        <f t="shared" si="7"/>
        <v>402.63210000000004</v>
      </c>
      <c r="AA42">
        <f t="shared" si="2"/>
        <v>289.45905000000005</v>
      </c>
      <c r="AD42">
        <f t="shared" si="3"/>
        <v>75.475499999999997</v>
      </c>
      <c r="AE42">
        <f t="shared" si="4"/>
        <v>255.06869999999998</v>
      </c>
      <c r="AF42">
        <f t="shared" si="5"/>
        <v>1273.701</v>
      </c>
      <c r="AG42">
        <f t="shared" si="6"/>
        <v>150.94130000000001</v>
      </c>
    </row>
    <row r="43" spans="1:33" x14ac:dyDescent="0.2">
      <c r="A43" t="s">
        <v>75</v>
      </c>
      <c r="B43">
        <v>120.46559999999999</v>
      </c>
      <c r="C43">
        <v>193.01130000000001</v>
      </c>
      <c r="D43">
        <v>232.53190000000001</v>
      </c>
      <c r="E43">
        <v>103.9637</v>
      </c>
      <c r="F43">
        <v>44.367100000000001</v>
      </c>
      <c r="G43">
        <v>44.367100000000001</v>
      </c>
      <c r="H43">
        <v>83.927999999999997</v>
      </c>
      <c r="I43">
        <v>353.98910000000001</v>
      </c>
      <c r="J43">
        <v>272.75830000000002</v>
      </c>
      <c r="K43">
        <v>83.927999999999997</v>
      </c>
      <c r="L43">
        <v>353.98919999999998</v>
      </c>
      <c r="M43">
        <v>272.75810000000001</v>
      </c>
      <c r="N43">
        <v>102.395</v>
      </c>
      <c r="O43">
        <v>486.57119999999998</v>
      </c>
      <c r="P43">
        <v>469.596</v>
      </c>
      <c r="Q43">
        <v>167.39269999999999</v>
      </c>
      <c r="R43">
        <v>102.395</v>
      </c>
      <c r="S43">
        <v>486.57089999999999</v>
      </c>
      <c r="T43">
        <v>469.596</v>
      </c>
      <c r="U43">
        <v>167.39269999999999</v>
      </c>
      <c r="V43" s="1">
        <f t="shared" si="0"/>
        <v>649.97250000000008</v>
      </c>
      <c r="W43">
        <f t="shared" si="1"/>
        <v>1606.1397000000002</v>
      </c>
      <c r="X43">
        <f t="shared" si="7"/>
        <v>486.57105000000001</v>
      </c>
      <c r="AA43">
        <f t="shared" si="2"/>
        <v>353.98915</v>
      </c>
      <c r="AD43">
        <f t="shared" si="3"/>
        <v>88.734200000000001</v>
      </c>
      <c r="AE43">
        <f t="shared" si="4"/>
        <v>256.59019999999998</v>
      </c>
      <c r="AF43">
        <f t="shared" si="5"/>
        <v>1510.0848999999998</v>
      </c>
      <c r="AG43">
        <f t="shared" si="6"/>
        <v>167.39269999999999</v>
      </c>
    </row>
    <row r="44" spans="1:33" x14ac:dyDescent="0.2">
      <c r="A44" t="s">
        <v>76</v>
      </c>
      <c r="B44">
        <v>112.12090000000001</v>
      </c>
      <c r="C44">
        <v>183.45400000000001</v>
      </c>
      <c r="D44">
        <v>184.04419999999999</v>
      </c>
      <c r="E44">
        <v>59.581299999999999</v>
      </c>
      <c r="F44">
        <v>39.571199999999997</v>
      </c>
      <c r="G44">
        <v>39.571199999999997</v>
      </c>
      <c r="H44">
        <v>92.931200000000004</v>
      </c>
      <c r="I44">
        <v>351.68430000000001</v>
      </c>
      <c r="J44">
        <v>247.34729999999999</v>
      </c>
      <c r="K44">
        <v>92.931299999999993</v>
      </c>
      <c r="L44">
        <v>351.6841</v>
      </c>
      <c r="M44">
        <v>247.34719999999999</v>
      </c>
      <c r="N44">
        <v>97.050399999999996</v>
      </c>
      <c r="O44">
        <v>457.4461</v>
      </c>
      <c r="P44">
        <v>442.63339999999999</v>
      </c>
      <c r="Q44">
        <v>158.65639999999999</v>
      </c>
      <c r="R44">
        <v>97.050399999999996</v>
      </c>
      <c r="S44">
        <v>457.44619999999998</v>
      </c>
      <c r="T44">
        <v>442.63319999999999</v>
      </c>
      <c r="U44">
        <v>158.65620000000001</v>
      </c>
      <c r="V44" s="1">
        <f t="shared" si="0"/>
        <v>539.20039999999995</v>
      </c>
      <c r="W44">
        <f t="shared" si="1"/>
        <v>1439.2799</v>
      </c>
      <c r="X44">
        <f t="shared" si="7"/>
        <v>457.44614999999999</v>
      </c>
      <c r="AA44">
        <f t="shared" si="2"/>
        <v>351.68420000000003</v>
      </c>
      <c r="AD44">
        <f t="shared" si="3"/>
        <v>79.142399999999995</v>
      </c>
      <c r="AE44">
        <f t="shared" si="4"/>
        <v>265.00490000000002</v>
      </c>
      <c r="AF44">
        <f t="shared" si="5"/>
        <v>1463.0678</v>
      </c>
      <c r="AG44">
        <f t="shared" si="6"/>
        <v>158.65629999999999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mocap_individual_bones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Hauke Sandhaus</dc:creator>
  <cp:lastModifiedBy>Hauke Sandhaus</cp:lastModifiedBy>
  <dcterms:created xsi:type="dcterms:W3CDTF">2024-02-10T18:08:19Z</dcterms:created>
  <dcterms:modified xsi:type="dcterms:W3CDTF">2024-02-10T19:12:25Z</dcterms:modified>
</cp:coreProperties>
</file>